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 Shahrom Ismail\Desktop\Cylinder - Loading imperfection\"/>
    </mc:Choice>
  </mc:AlternateContent>
  <xr:revisionPtr revIDLastSave="0" documentId="13_ncr:1_{6290E945-FEB6-4F92-8BD0-3E706D7A78DC}" xr6:coauthVersionLast="47" xr6:coauthVersionMax="47" xr10:uidLastSave="{00000000-0000-0000-0000-000000000000}"/>
  <bookViews>
    <workbookView xWindow="-110" yWindow="-110" windowWidth="19420" windowHeight="10300" activeTab="1" xr2:uid="{2220B5AF-4434-4E44-B023-2C724A42ECF9}"/>
  </bookViews>
  <sheets>
    <sheet name="Validation" sheetId="1" r:id="rId1"/>
    <sheet name="Combine load" sheetId="4" r:id="rId2"/>
    <sheet name="Sensitivity" sheetId="5" r:id="rId3"/>
    <sheet name="Load-displacement" sheetId="2" r:id="rId4"/>
    <sheet name="Extension 1 (Configuration)" sheetId="3" r:id="rId5"/>
    <sheet name="Extension 2 (Ply Optimization)" sheetId="6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6" l="1"/>
  <c r="O9" i="6"/>
  <c r="P9" i="6"/>
  <c r="R9" i="6"/>
  <c r="N9" i="6"/>
  <c r="N15" i="6"/>
  <c r="O15" i="6"/>
  <c r="P15" i="6"/>
  <c r="Q15" i="6"/>
  <c r="R15" i="6"/>
  <c r="R13" i="6"/>
  <c r="Q13" i="6"/>
  <c r="P13" i="6"/>
  <c r="O13" i="6"/>
  <c r="N13" i="6"/>
  <c r="O7" i="6"/>
  <c r="P7" i="6"/>
  <c r="Q7" i="6"/>
  <c r="R7" i="6"/>
  <c r="N7" i="6"/>
  <c r="C9" i="1"/>
  <c r="J21" i="3" l="1"/>
  <c r="AB43" i="4"/>
  <c r="AC43" i="4"/>
  <c r="AD43" i="4"/>
  <c r="AA43" i="4"/>
  <c r="AB42" i="4"/>
  <c r="AC42" i="4"/>
  <c r="AD42" i="4"/>
  <c r="AA42" i="4"/>
  <c r="AB37" i="4"/>
  <c r="AC37" i="4"/>
  <c r="AD37" i="4"/>
  <c r="AA37" i="4"/>
  <c r="AB36" i="4"/>
  <c r="AC36" i="4"/>
  <c r="AD36" i="4"/>
  <c r="AA36" i="4"/>
  <c r="AB31" i="4"/>
  <c r="AC31" i="4"/>
  <c r="AD31" i="4"/>
  <c r="AE31" i="4"/>
  <c r="AA31" i="4"/>
  <c r="AB30" i="4"/>
  <c r="AC30" i="4"/>
  <c r="AD30" i="4"/>
  <c r="AE30" i="4"/>
  <c r="AA30" i="4"/>
  <c r="AE25" i="4"/>
  <c r="AA25" i="4"/>
  <c r="AE24" i="4"/>
  <c r="AD24" i="4"/>
  <c r="AC24" i="4"/>
  <c r="AB24" i="4"/>
  <c r="AA24" i="4"/>
  <c r="AD23" i="4"/>
  <c r="AD25" i="4" s="1"/>
  <c r="AC23" i="4"/>
  <c r="AC25" i="4" s="1"/>
  <c r="AB23" i="4"/>
  <c r="AB25" i="4" s="1"/>
  <c r="AB19" i="4"/>
  <c r="AC19" i="4"/>
  <c r="AD19" i="4"/>
  <c r="AE19" i="4"/>
  <c r="AA19" i="4"/>
  <c r="AB18" i="4"/>
  <c r="AC18" i="4"/>
  <c r="AD18" i="4"/>
  <c r="AE18" i="4"/>
  <c r="AA18" i="4"/>
  <c r="AI19" i="4"/>
  <c r="AI18" i="4"/>
  <c r="H13" i="4"/>
  <c r="D12" i="4"/>
  <c r="AM25" i="4"/>
  <c r="AI25" i="4"/>
  <c r="AJ24" i="4"/>
  <c r="AK24" i="4"/>
  <c r="AL24" i="4"/>
  <c r="AM24" i="4"/>
  <c r="AI24" i="4"/>
  <c r="AJ23" i="4"/>
  <c r="AJ25" i="4" s="1"/>
  <c r="AK23" i="4"/>
  <c r="AK25" i="4" s="1"/>
  <c r="AL23" i="4"/>
  <c r="AL25" i="4" s="1"/>
  <c r="E54" i="4"/>
  <c r="E56" i="4" s="1"/>
  <c r="F54" i="4"/>
  <c r="F56" i="4" s="1"/>
  <c r="E66" i="4"/>
  <c r="F66" i="4"/>
  <c r="F68" i="4" s="1"/>
  <c r="G66" i="4"/>
  <c r="G68" i="4" s="1"/>
  <c r="E72" i="4"/>
  <c r="E74" i="4" s="1"/>
  <c r="F72" i="4"/>
  <c r="F74" i="4" s="1"/>
  <c r="E78" i="4"/>
  <c r="E80" i="4" s="1"/>
  <c r="F78" i="4"/>
  <c r="F80" i="4" s="1"/>
  <c r="G78" i="4"/>
  <c r="G80" i="4" s="1"/>
  <c r="X3" i="4"/>
  <c r="AJ43" i="4"/>
  <c r="AK43" i="4"/>
  <c r="AL43" i="4"/>
  <c r="AI43" i="4"/>
  <c r="AJ42" i="4"/>
  <c r="AK42" i="4"/>
  <c r="AL42" i="4"/>
  <c r="AI42" i="4"/>
  <c r="AK37" i="4"/>
  <c r="AJ37" i="4"/>
  <c r="AI37" i="4"/>
  <c r="AJ36" i="4"/>
  <c r="AK36" i="4"/>
  <c r="AI36" i="4"/>
  <c r="AJ31" i="4"/>
  <c r="AK31" i="4"/>
  <c r="AL31" i="4"/>
  <c r="AI31" i="4"/>
  <c r="AJ30" i="4"/>
  <c r="AK30" i="4"/>
  <c r="AL30" i="4"/>
  <c r="AI30" i="4"/>
  <c r="AJ19" i="4"/>
  <c r="AK19" i="4"/>
  <c r="AL19" i="4"/>
  <c r="AJ18" i="4"/>
  <c r="AK18" i="4"/>
  <c r="AL18" i="4"/>
  <c r="D6" i="4"/>
  <c r="D61" i="4"/>
  <c r="D55" i="4"/>
  <c r="D24" i="4"/>
  <c r="H80" i="4"/>
  <c r="D80" i="4"/>
  <c r="E79" i="4"/>
  <c r="F79" i="4"/>
  <c r="G79" i="4"/>
  <c r="H79" i="4"/>
  <c r="D79" i="4"/>
  <c r="G74" i="4"/>
  <c r="D74" i="4"/>
  <c r="E73" i="4"/>
  <c r="F73" i="4"/>
  <c r="G73" i="4"/>
  <c r="D73" i="4"/>
  <c r="E68" i="4"/>
  <c r="H68" i="4"/>
  <c r="D68" i="4"/>
  <c r="E67" i="4"/>
  <c r="F67" i="4"/>
  <c r="G67" i="4"/>
  <c r="H67" i="4"/>
  <c r="D67" i="4"/>
  <c r="E61" i="4"/>
  <c r="F61" i="4"/>
  <c r="G61" i="4"/>
  <c r="H61" i="4"/>
  <c r="E62" i="4"/>
  <c r="F62" i="4"/>
  <c r="G62" i="4"/>
  <c r="H62" i="4"/>
  <c r="D62" i="4"/>
  <c r="G56" i="4"/>
  <c r="D56" i="4"/>
  <c r="E55" i="4"/>
  <c r="F55" i="4"/>
  <c r="G55" i="4"/>
  <c r="H31" i="4"/>
  <c r="G31" i="4"/>
  <c r="F31" i="4"/>
  <c r="E31" i="4"/>
  <c r="D31" i="4"/>
  <c r="H30" i="4"/>
  <c r="G30" i="4"/>
  <c r="F30" i="4"/>
  <c r="E30" i="4"/>
  <c r="D30" i="4"/>
  <c r="H25" i="4"/>
  <c r="G25" i="4"/>
  <c r="F25" i="4"/>
  <c r="E25" i="4"/>
  <c r="D25" i="4"/>
  <c r="H24" i="4"/>
  <c r="G24" i="4"/>
  <c r="F24" i="4"/>
  <c r="E24" i="4"/>
  <c r="H19" i="4"/>
  <c r="D19" i="4"/>
  <c r="E19" i="4"/>
  <c r="E18" i="4"/>
  <c r="F18" i="4"/>
  <c r="G18" i="4"/>
  <c r="D18" i="4"/>
  <c r="Q7" i="4"/>
  <c r="Q8" i="4"/>
  <c r="Q4" i="4"/>
  <c r="Q5" i="4"/>
  <c r="Q6" i="4"/>
  <c r="Q3" i="4"/>
  <c r="G19" i="4"/>
  <c r="F19" i="4"/>
  <c r="H18" i="4"/>
  <c r="G13" i="4"/>
  <c r="F13" i="4"/>
  <c r="E13" i="4"/>
  <c r="D13" i="4"/>
  <c r="H12" i="4"/>
  <c r="G12" i="4"/>
  <c r="F12" i="4"/>
  <c r="E12" i="4"/>
  <c r="E7" i="4"/>
  <c r="F7" i="4"/>
  <c r="G7" i="4"/>
  <c r="H7" i="4"/>
  <c r="D7" i="4"/>
  <c r="E6" i="4"/>
  <c r="F6" i="4"/>
  <c r="G6" i="4"/>
  <c r="H6" i="4"/>
  <c r="N4" i="1"/>
  <c r="N5" i="1"/>
  <c r="N6" i="1"/>
  <c r="N7" i="1"/>
  <c r="N3" i="1"/>
  <c r="M3" i="1"/>
  <c r="M4" i="1"/>
  <c r="M5" i="1"/>
  <c r="M6" i="1"/>
  <c r="M7" i="1"/>
  <c r="G4" i="1"/>
  <c r="G5" i="1"/>
  <c r="G6" i="1"/>
  <c r="G7" i="1"/>
  <c r="G3" i="1"/>
  <c r="E4" i="1"/>
  <c r="E5" i="1"/>
  <c r="E6" i="1"/>
  <c r="E7" i="1"/>
  <c r="E3" i="1"/>
</calcChain>
</file>

<file path=xl/sharedStrings.xml><?xml version="1.0" encoding="utf-8"?>
<sst xmlns="http://schemas.openxmlformats.org/spreadsheetml/2006/main" count="506" uniqueCount="175">
  <si>
    <t>Cylinder</t>
  </si>
  <si>
    <t>R/t</t>
  </si>
  <si>
    <t>Fy (MPa)</t>
  </si>
  <si>
    <t>Fexp (kN)</t>
  </si>
  <si>
    <t>FGMNA (MPa)</t>
  </si>
  <si>
    <t>Ftheory (kN)</t>
  </si>
  <si>
    <t>R (mm)</t>
  </si>
  <si>
    <t>t (mm)</t>
  </si>
  <si>
    <t>Load (kN)</t>
  </si>
  <si>
    <t>Compression extension (mm)</t>
  </si>
  <si>
    <t>FE (Ifayefunmi, 2016)</t>
  </si>
  <si>
    <t>Current FE</t>
  </si>
  <si>
    <t>Experiment (Ifayefunmi, 2016)</t>
  </si>
  <si>
    <t>CY1_t1.0</t>
  </si>
  <si>
    <t>CY1_t0.5</t>
  </si>
  <si>
    <t>CY2_t1.0</t>
  </si>
  <si>
    <t>CY1_t2.0</t>
  </si>
  <si>
    <t>CY2_t2.0</t>
  </si>
  <si>
    <t>E (GPa)</t>
  </si>
  <si>
    <t>Diameter (mm)</t>
  </si>
  <si>
    <t>GMNA/exp</t>
  </si>
  <si>
    <t>Ftheory/exp</t>
  </si>
  <si>
    <t>F (kN)</t>
  </si>
  <si>
    <t>P (MPa)</t>
  </si>
  <si>
    <t>Case ID</t>
  </si>
  <si>
    <t>Configuration</t>
  </si>
  <si>
    <t>Narrative Focus</t>
  </si>
  <si>
    <t>A-ST</t>
  </si>
  <si>
    <t>Bare Steel</t>
  </si>
  <si>
    <t>N/A</t>
  </si>
  <si>
    <t xml:space="preserve">Benchmark for MIG-weld "knock-down." </t>
  </si>
  <si>
    <t>A-1</t>
  </si>
  <si>
    <t>Hybrid</t>
  </si>
  <si>
    <t>A-2</t>
  </si>
  <si>
    <t>B-ST</t>
  </si>
  <si>
    <t xml:space="preserve">Sensitivity of ultra-thin walls. </t>
  </si>
  <si>
    <t>B-1</t>
  </si>
  <si>
    <t>B-2</t>
  </si>
  <si>
    <t>F/Fref</t>
  </si>
  <si>
    <t>P/Pref</t>
  </si>
  <si>
    <t>ASME</t>
  </si>
  <si>
    <t>[0/90/45/-45]s</t>
  </si>
  <si>
    <t>quasi-isotropic</t>
  </si>
  <si>
    <t>[0,90,90,0,90]s</t>
  </si>
  <si>
    <t>cross-ply</t>
  </si>
  <si>
    <t>tply</t>
  </si>
  <si>
    <t xml:space="preserve">Stacking Sequence </t>
  </si>
  <si>
    <t>tst (mm)</t>
  </si>
  <si>
    <t>tCFRP (mm)</t>
  </si>
  <si>
    <r>
      <t xml:space="preserve">Fyield </t>
    </r>
    <r>
      <rPr>
        <sz val="11"/>
        <color theme="1"/>
        <rFont val="Arial"/>
        <family val="2"/>
      </rPr>
      <t>(kN)</t>
    </r>
  </si>
  <si>
    <r>
      <t xml:space="preserve">Fbuckle </t>
    </r>
    <r>
      <rPr>
        <sz val="11"/>
        <color theme="1"/>
        <rFont val="Arial"/>
        <family val="2"/>
      </rPr>
      <t>(kN)</t>
    </r>
  </si>
  <si>
    <r>
      <t xml:space="preserve">Fpost-buckle </t>
    </r>
    <r>
      <rPr>
        <sz val="11"/>
        <color theme="1"/>
        <rFont val="Arial"/>
        <family val="2"/>
      </rPr>
      <t>(kN)</t>
    </r>
  </si>
  <si>
    <t>Retention Ratio (%)</t>
  </si>
  <si>
    <t>Efficiency Trend</t>
  </si>
  <si>
    <t>Baseline</t>
  </si>
  <si>
    <t>Maximum Capacity</t>
  </si>
  <si>
    <t>High Core Stability</t>
  </si>
  <si>
    <t>Significant Loss</t>
  </si>
  <si>
    <t>Minimum Stability</t>
  </si>
  <si>
    <t>Case 1</t>
  </si>
  <si>
    <t>Case 2</t>
  </si>
  <si>
    <t>Case 3</t>
  </si>
  <si>
    <t>Number of element</t>
  </si>
  <si>
    <t>Number of Elements</t>
  </si>
  <si>
    <t>% Difference</t>
  </si>
  <si>
    <t>-</t>
  </si>
  <si>
    <t>Fbuckle (kN)</t>
  </si>
  <si>
    <t>Fpost-buckle (kN)</t>
  </si>
  <si>
    <t>High Post-Buckling Stability</t>
  </si>
  <si>
    <t>Configuration Name</t>
  </si>
  <si>
    <t>Outer Layer (Extrados)</t>
  </si>
  <si>
    <t>Core Layer</t>
  </si>
  <si>
    <t>Inner Layer (Intrados)</t>
  </si>
  <si>
    <t>Structural Rationale</t>
  </si>
  <si>
    <t>Conf-Outer</t>
  </si>
  <si>
    <t>Outer Reinforced (Baseline)</t>
  </si>
  <si>
    <t>CFRP (0.25 mm)</t>
  </si>
  <si>
    <t>Steel (0.25 mm)</t>
  </si>
  <si>
    <t>None</t>
  </si>
  <si>
    <t>Maximizes the radial distance of the CFRP, theoretically giving the composite the highest bending leverage.</t>
  </si>
  <si>
    <t>Conf-Inner</t>
  </si>
  <si>
    <t>Inner Reinforced</t>
  </si>
  <si>
    <t>Puts the ductile steel on the outside to take the primary environmental wear and initial compressive yielding.</t>
  </si>
  <si>
    <t>Conf-Sand-1</t>
  </si>
  <si>
    <t>Steel-Skinned Sandwich</t>
  </si>
  <si>
    <t>Steel (0.125 mm)</t>
  </si>
  <si>
    <t>Puts the isotropic, ductile metal on the extreme extreme fibers to resist localized plastic hinging.</t>
  </si>
  <si>
    <t>Conf-Sand-2</t>
  </si>
  <si>
    <t>CFRP-Skinned Sandwich</t>
  </si>
  <si>
    <t>CFRP (0.125 mm)</t>
  </si>
  <si>
    <t>Puts the highly stiff, orthotropic composite on the extreme fibers to maximize elastic global buckling resistance.</t>
  </si>
  <si>
    <t>GMNA (kN)</t>
  </si>
  <si>
    <t>GMNIA (kN)</t>
  </si>
  <si>
    <t>R/t = 100 (A-series)</t>
  </si>
  <si>
    <t>R/t = 600 (B-series)</t>
  </si>
  <si>
    <t>a/t</t>
  </si>
  <si>
    <t>Stacking Sequence</t>
  </si>
  <si>
    <t>Opt-Base</t>
  </si>
  <si>
    <t>The quasi-isotropic control from your original study.</t>
  </si>
  <si>
    <t>Opt-15</t>
  </si>
  <si>
    <t>Highly axial-biased shear web.</t>
  </si>
  <si>
    <t>Opt-30</t>
  </si>
  <si>
    <t>Moderate axial bias; excellent for shifting axial loads around a dent.</t>
  </si>
  <si>
    <t>Opt-45</t>
  </si>
  <si>
    <t>Perfectly balanced shear distribution.</t>
  </si>
  <si>
    <t>Opt-60</t>
  </si>
  <si>
    <t>Moderate hoop bias; better for resisting external pressure triggers.</t>
  </si>
  <si>
    <t>Opt-75</t>
  </si>
  <si>
    <t>Highly hoop-biased shear web.</t>
  </si>
  <si>
    <t>[0/15/-15/90]s</t>
  </si>
  <si>
    <t>[0/30/-30/90]s</t>
  </si>
  <si>
    <t>[0/45/-45/90]s</t>
  </si>
  <si>
    <t>[0/60/-60/90]s</t>
  </si>
  <si>
    <t>[0/75/-75/90]s</t>
  </si>
  <si>
    <t>Property</t>
  </si>
  <si>
    <t>Value</t>
  </si>
  <si>
    <t>Description</t>
  </si>
  <si>
    <t>Material Type</t>
  </si>
  <si>
    <t>Mild Steel</t>
  </si>
  <si>
    <t>Modeled using J2 flow plasticity theory.</t>
  </si>
  <si>
    <t>Young's Modulus (E)</t>
  </si>
  <si>
    <t>193.7 GPa</t>
  </si>
  <si>
    <t>The elastic stiffness of the metallic core.</t>
  </si>
  <si>
    <t>Yield Stress ($\sigma_y$)</t>
  </si>
  <si>
    <t>203.1 MPa</t>
  </si>
  <si>
    <t>The point of initial plastic deformation.</t>
  </si>
  <si>
    <t>Inner Lamina (Intrados)</t>
  </si>
  <si>
    <t>Core Lamina</t>
  </si>
  <si>
    <t>Outer Lamina (Extrados)</t>
  </si>
  <si>
    <t>Total t</t>
  </si>
  <si>
    <t>Outer-Reinforced (Baseline)</t>
  </si>
  <si>
    <t>Steel</t>
  </si>
  <si>
    <t>0.25 mm</t>
  </si>
  <si>
    <t>—</t>
  </si>
  <si>
    <t>CFRP</t>
  </si>
  <si>
    <t>0.25 mm (8 Plies)</t>
  </si>
  <si>
    <t>0.5 mm</t>
  </si>
  <si>
    <t>Inner-Reinforced</t>
  </si>
  <si>
    <t>0.125 mm</t>
  </si>
  <si>
    <t>0.125 mm (4 Plies)</t>
  </si>
  <si>
    <t>[0/90/45/-45]</t>
  </si>
  <si>
    <t>[-45/45/90/0]</t>
  </si>
  <si>
    <t>L</t>
  </si>
  <si>
    <t>D</t>
  </si>
  <si>
    <t>C-O-A</t>
  </si>
  <si>
    <t>C-O-A-Imp</t>
  </si>
  <si>
    <r>
      <t xml:space="preserve">Fbuckle 
</t>
    </r>
    <r>
      <rPr>
        <sz val="11"/>
        <color theme="1"/>
        <rFont val="Arial"/>
        <family val="2"/>
      </rPr>
      <t>(kN)</t>
    </r>
  </si>
  <si>
    <t>C-O-B</t>
  </si>
  <si>
    <t>C-O-B-Imp</t>
  </si>
  <si>
    <t>GMNA</t>
  </si>
  <si>
    <t>GMNIA</t>
  </si>
  <si>
    <t>Fexp​ (kN)</t>
  </si>
  <si>
    <t>FGMNA​</t>
  </si>
  <si>
    <t>Ftheory​ (kN)</t>
  </si>
  <si>
    <t>Difference Ftheory​ vs Fexp​ (%)</t>
  </si>
  <si>
    <t>Difference GMNA​ vs Exp​ (%)</t>
  </si>
  <si>
    <t>Puts the isotropic, ductile metal on the extreme fibers to resist localized plastic hinging.</t>
  </si>
  <si>
    <t>R/t = 100</t>
  </si>
  <si>
    <t>R/t = 600</t>
  </si>
  <si>
    <t>CFRP 
(0.25 mm)</t>
  </si>
  <si>
    <t>Steel 
(0.25 mm)</t>
  </si>
  <si>
    <t>Steel 
(0.125 mm)</t>
  </si>
  <si>
    <t>ASME CC 2286-2</t>
  </si>
  <si>
    <t>ASME CC 2286-2 (FS - 2.0)</t>
  </si>
  <si>
    <t>ASME CC 2286-2 (FS - 1.0)</t>
  </si>
  <si>
    <t>KDF</t>
  </si>
  <si>
    <t>a</t>
  </si>
  <si>
    <t>Ry​ (External Pressure)</t>
  </si>
  <si>
    <t>ECCS Linear (m=1,n=1)</t>
  </si>
  <si>
    <t>Das Parabolic (m=1,n=2)</t>
  </si>
  <si>
    <t>DNV Quadratic (m=2,n=2)</t>
  </si>
  <si>
    <t>Excel Formula:</t>
  </si>
  <si>
    <t>1 - Ry_cell</t>
  </si>
  <si>
    <t>1 - (Ry_cell^2)</t>
  </si>
  <si>
    <t>SQRT(1 - (Ry_cell^2))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</si>
</sst>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9"/>
      <color rgb="FF1F1F1F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  <font>
      <sz val="10"/>
      <color rgb="FF444746"/>
      <name val="Google Sans Text"/>
      <family val="2"/>
    </font>
    <font>
      <sz val="8"/>
      <name val="Calibri"/>
      <family val="2"/>
      <scheme val="minor"/>
    </font>
    <font>
      <sz val="8"/>
      <color rgb="FF1F1F1F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vertical="center" wrapText="1" readingOrder="1"/>
    </xf>
    <xf numFmtId="2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 readingOrder="1"/>
    </xf>
    <xf numFmtId="0" fontId="9" fillId="0" borderId="3" xfId="0" applyFont="1" applyBorder="1" applyAlignment="1">
      <alignment vertical="center" wrapText="1" readingOrder="1"/>
    </xf>
    <xf numFmtId="10" fontId="9" fillId="0" borderId="3" xfId="0" applyNumberFormat="1" applyFont="1" applyBorder="1" applyAlignment="1">
      <alignment vertical="center" wrapText="1" readingOrder="1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10" fontId="9" fillId="0" borderId="1" xfId="0" applyNumberFormat="1" applyFont="1" applyBorder="1" applyAlignment="1">
      <alignment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6" fillId="0" borderId="0" xfId="0" applyFont="1"/>
    <xf numFmtId="0" fontId="11" fillId="0" borderId="0" xfId="0" applyFont="1"/>
    <xf numFmtId="0" fontId="9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9" fillId="2" borderId="1" xfId="0" applyFont="1" applyFill="1" applyBorder="1" applyAlignment="1">
      <alignment vertical="center" wrapText="1" readingOrder="1"/>
    </xf>
    <xf numFmtId="11" fontId="6" fillId="0" borderId="0" xfId="0" applyNumberFormat="1" applyFont="1"/>
    <xf numFmtId="0" fontId="6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vertical="center" wrapText="1" readingOrder="1"/>
    </xf>
    <xf numFmtId="0" fontId="9" fillId="0" borderId="1" xfId="0" applyFont="1" applyBorder="1" applyAlignment="1">
      <alignment vertical="center" readingOrder="1"/>
    </xf>
    <xf numFmtId="0" fontId="6" fillId="0" borderId="1" xfId="0" applyFont="1" applyBorder="1"/>
    <xf numFmtId="0" fontId="6" fillId="0" borderId="4" xfId="0" applyFont="1" applyBorder="1"/>
    <xf numFmtId="0" fontId="14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9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37886648407454"/>
          <c:y val="2.60767232487885E-2"/>
          <c:w val="0.84635542454410728"/>
          <c:h val="0.870030621172353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Validation!$M$2</c:f>
              <c:strCache>
                <c:ptCount val="1"/>
                <c:pt idx="0">
                  <c:v>GMNA/exp</c:v>
                </c:pt>
              </c:strCache>
            </c:strRef>
          </c:tx>
          <c:spPr>
            <a:solidFill>
              <a:srgbClr val="FFFF00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Validation!$C$3:$C$7</c:f>
              <c:strCache>
                <c:ptCount val="5"/>
                <c:pt idx="0">
                  <c:v>CY1_t0.5</c:v>
                </c:pt>
                <c:pt idx="1">
                  <c:v>CY1_t1.0</c:v>
                </c:pt>
                <c:pt idx="2">
                  <c:v>CY2_t1.0</c:v>
                </c:pt>
                <c:pt idx="3">
                  <c:v>CY1_t2.0</c:v>
                </c:pt>
                <c:pt idx="4">
                  <c:v>CY2_t2.0</c:v>
                </c:pt>
              </c:strCache>
            </c:strRef>
          </c:cat>
          <c:val>
            <c:numRef>
              <c:f>Validation!$M$3:$M$7</c:f>
              <c:numCache>
                <c:formatCode>0.000</c:formatCode>
                <c:ptCount val="5"/>
                <c:pt idx="0">
                  <c:v>1.0686989711251245</c:v>
                </c:pt>
                <c:pt idx="1">
                  <c:v>0.98057399314987592</c:v>
                </c:pt>
                <c:pt idx="2">
                  <c:v>1.0342118832766907</c:v>
                </c:pt>
                <c:pt idx="3">
                  <c:v>0.98900722708254096</c:v>
                </c:pt>
                <c:pt idx="4">
                  <c:v>1.0001917913310319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48-4B73-B52F-457584921886}"/>
            </c:ext>
          </c:extLst>
        </c:ser>
        <c:ser>
          <c:idx val="1"/>
          <c:order val="1"/>
          <c:tx>
            <c:strRef>
              <c:f>Validation!$N$2</c:f>
              <c:strCache>
                <c:ptCount val="1"/>
                <c:pt idx="0">
                  <c:v>Ftheory/exp</c:v>
                </c:pt>
              </c:strCache>
            </c:strRef>
          </c:tx>
          <c:spPr>
            <a:solidFill>
              <a:srgbClr val="92D050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6.48148148148148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48-4B73-B52F-457584921886}"/>
                </c:ext>
              </c:extLst>
            </c:dLbl>
            <c:dLbl>
              <c:idx val="2"/>
              <c:layout>
                <c:manualLayout>
                  <c:x val="-1.0185067526415994E-16"/>
                  <c:y val="-5.5555555555555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48-4B73-B52F-457584921886}"/>
                </c:ext>
              </c:extLst>
            </c:dLbl>
            <c:dLbl>
              <c:idx val="3"/>
              <c:layout>
                <c:manualLayout>
                  <c:x val="0"/>
                  <c:y val="-9.72222222222222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48-4B73-B52F-457584921886}"/>
                </c:ext>
              </c:extLst>
            </c:dLbl>
            <c:dLbl>
              <c:idx val="4"/>
              <c:layout>
                <c:manualLayout>
                  <c:x val="1.013180243383079E-16"/>
                  <c:y val="-9.49535904980615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48-4B73-B52F-4575849218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Validation!$C$3:$C$7</c:f>
              <c:strCache>
                <c:ptCount val="5"/>
                <c:pt idx="0">
                  <c:v>CY1_t0.5</c:v>
                </c:pt>
                <c:pt idx="1">
                  <c:v>CY1_t1.0</c:v>
                </c:pt>
                <c:pt idx="2">
                  <c:v>CY2_t1.0</c:v>
                </c:pt>
                <c:pt idx="3">
                  <c:v>CY1_t2.0</c:v>
                </c:pt>
                <c:pt idx="4">
                  <c:v>CY2_t2.0</c:v>
                </c:pt>
              </c:strCache>
            </c:strRef>
          </c:cat>
          <c:val>
            <c:numRef>
              <c:f>Validation!$N$3:$N$7</c:f>
              <c:numCache>
                <c:formatCode>0.000</c:formatCode>
                <c:ptCount val="5"/>
                <c:pt idx="0">
                  <c:v>1.0803186193162959</c:v>
                </c:pt>
                <c:pt idx="1">
                  <c:v>0.984528168182355</c:v>
                </c:pt>
                <c:pt idx="2">
                  <c:v>1.0398453064572835</c:v>
                </c:pt>
                <c:pt idx="3">
                  <c:v>0.98882655001901865</c:v>
                </c:pt>
                <c:pt idx="4">
                  <c:v>0.9998561565017261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48-4B73-B52F-4575849218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7597103"/>
        <c:axId val="1767586063"/>
      </c:barChart>
      <c:catAx>
        <c:axId val="176759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86063"/>
        <c:crosses val="autoZero"/>
        <c:auto val="1"/>
        <c:lblAlgn val="ctr"/>
        <c:lblOffset val="100"/>
        <c:noMultiLvlLbl val="0"/>
      </c:catAx>
      <c:valAx>
        <c:axId val="17675860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Fpredicted/Fexp</a:t>
                </a:r>
              </a:p>
            </c:rich>
          </c:tx>
          <c:layout>
            <c:manualLayout>
              <c:xMode val="edge"/>
              <c:yMode val="edge"/>
              <c:x val="8.8569293652429153E-3"/>
              <c:y val="0.295317129937252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597103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40140716662635"/>
          <c:y val="2.5717475348018218E-2"/>
          <c:w val="0.80798228681232753"/>
          <c:h val="0.95301746830989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Validation!$I$28</c:f>
              <c:strCache>
                <c:ptCount val="1"/>
                <c:pt idx="0">
                  <c:v>Difference GMNA​ vs Exp​ (%)</c:v>
                </c:pt>
              </c:strCache>
            </c:strRef>
          </c:tx>
          <c:spPr>
            <a:noFill/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Validation!$E$29:$E$33</c:f>
              <c:strCache>
                <c:ptCount val="5"/>
                <c:pt idx="0">
                  <c:v>CY1_t0.5</c:v>
                </c:pt>
                <c:pt idx="1">
                  <c:v>CY1_t1.0</c:v>
                </c:pt>
                <c:pt idx="2">
                  <c:v>CY2_t1.0</c:v>
                </c:pt>
                <c:pt idx="3">
                  <c:v>CY1_t2.0</c:v>
                </c:pt>
                <c:pt idx="4">
                  <c:v>CY2_t2.0</c:v>
                </c:pt>
              </c:strCache>
            </c:strRef>
          </c:cat>
          <c:val>
            <c:numRef>
              <c:f>Validation!$I$29:$I$33</c:f>
              <c:numCache>
                <c:formatCode>0.00%</c:formatCode>
                <c:ptCount val="5"/>
                <c:pt idx="0">
                  <c:v>6.8699999999999997E-2</c:v>
                </c:pt>
                <c:pt idx="1">
                  <c:v>-1.9400000000000001E-2</c:v>
                </c:pt>
                <c:pt idx="2">
                  <c:v>3.4200000000000001E-2</c:v>
                </c:pt>
                <c:pt idx="3">
                  <c:v>-1.0999999999999999E-2</c:v>
                </c:pt>
                <c:pt idx="4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0-4E08-B569-163580EC559B}"/>
            </c:ext>
          </c:extLst>
        </c:ser>
        <c:ser>
          <c:idx val="1"/>
          <c:order val="1"/>
          <c:tx>
            <c:strRef>
              <c:f>Validation!$J$28</c:f>
              <c:strCache>
                <c:ptCount val="1"/>
                <c:pt idx="0">
                  <c:v>Difference Ftheory​ vs Fexp​ (%)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invertIfNegative val="0"/>
          <c:dLbls>
            <c:dLbl>
              <c:idx val="4"/>
              <c:layout>
                <c:manualLayout>
                  <c:x val="-1.9086035595023497E-16"/>
                  <c:y val="-6.56461193451618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80-4E08-B569-163580EC55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Validation!$E$29:$E$33</c:f>
              <c:strCache>
                <c:ptCount val="5"/>
                <c:pt idx="0">
                  <c:v>CY1_t0.5</c:v>
                </c:pt>
                <c:pt idx="1">
                  <c:v>CY1_t1.0</c:v>
                </c:pt>
                <c:pt idx="2">
                  <c:v>CY2_t1.0</c:v>
                </c:pt>
                <c:pt idx="3">
                  <c:v>CY1_t2.0</c:v>
                </c:pt>
                <c:pt idx="4">
                  <c:v>CY2_t2.0</c:v>
                </c:pt>
              </c:strCache>
            </c:strRef>
          </c:cat>
          <c:val>
            <c:numRef>
              <c:f>Validation!$J$29:$J$33</c:f>
              <c:numCache>
                <c:formatCode>0.00%</c:formatCode>
                <c:ptCount val="5"/>
                <c:pt idx="0">
                  <c:v>8.0299999999999996E-2</c:v>
                </c:pt>
                <c:pt idx="1">
                  <c:v>-1.55E-2</c:v>
                </c:pt>
                <c:pt idx="2">
                  <c:v>3.9800000000000002E-2</c:v>
                </c:pt>
                <c:pt idx="3">
                  <c:v>-1.12E-2</c:v>
                </c:pt>
                <c:pt idx="4">
                  <c:v>-1E-4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80-4E08-B569-163580EC55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4854463"/>
        <c:axId val="834855423"/>
      </c:barChart>
      <c:catAx>
        <c:axId val="83485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55423"/>
        <c:crosses val="autoZero"/>
        <c:auto val="1"/>
        <c:lblAlgn val="ctr"/>
        <c:lblOffset val="100"/>
        <c:noMultiLvlLbl val="0"/>
      </c:catAx>
      <c:valAx>
        <c:axId val="834855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Error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5446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508899701246134"/>
          <c:y val="2.5168560151669846E-2"/>
          <c:w val="0.62779800140919684"/>
          <c:h val="6.6756604126802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'Combine load'!$C$3</c:f>
              <c:strCache>
                <c:ptCount val="1"/>
                <c:pt idx="0">
                  <c:v>A-ST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load'!$D$7:$H$7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0.74797210010314752</c:v>
                </c:pt>
                <c:pt idx="4">
                  <c:v>1</c:v>
                </c:pt>
              </c:numCache>
            </c:numRef>
          </c:xVal>
          <c:yVal>
            <c:numRef>
              <c:f>'Combine load'!$D$6:$H$6</c:f>
              <c:numCache>
                <c:formatCode>General</c:formatCode>
                <c:ptCount val="5"/>
                <c:pt idx="0">
                  <c:v>1</c:v>
                </c:pt>
                <c:pt idx="1">
                  <c:v>1.0993357122227088</c:v>
                </c:pt>
                <c:pt idx="2">
                  <c:v>1.1635315637626205</c:v>
                </c:pt>
                <c:pt idx="3">
                  <c:v>1.1221960316646946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0D-468B-907A-602DDFC10D49}"/>
            </c:ext>
          </c:extLst>
        </c:ser>
        <c:ser>
          <c:idx val="1"/>
          <c:order val="1"/>
          <c:tx>
            <c:strRef>
              <c:f>'Combine load'!$C$9</c:f>
              <c:strCache>
                <c:ptCount val="1"/>
                <c:pt idx="0">
                  <c:v>ASME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load'!$D$13:$H$13</c:f>
              <c:numCache>
                <c:formatCode>General</c:formatCode>
                <c:ptCount val="5"/>
                <c:pt idx="0">
                  <c:v>0</c:v>
                </c:pt>
                <c:pt idx="1">
                  <c:v>0.10996449923390449</c:v>
                </c:pt>
                <c:pt idx="2">
                  <c:v>0.21992899846780897</c:v>
                </c:pt>
                <c:pt idx="3">
                  <c:v>0.3298934977017135</c:v>
                </c:pt>
                <c:pt idx="4">
                  <c:v>0.43985800903740052</c:v>
                </c:pt>
              </c:numCache>
            </c:numRef>
          </c:xVal>
          <c:yVal>
            <c:numRef>
              <c:f>'Combine load'!$D$12:$H$12</c:f>
              <c:numCache>
                <c:formatCode>General</c:formatCode>
                <c:ptCount val="5"/>
                <c:pt idx="0">
                  <c:v>0.87615886565374113</c:v>
                </c:pt>
                <c:pt idx="1">
                  <c:v>0.88419529253196438</c:v>
                </c:pt>
                <c:pt idx="2">
                  <c:v>0.85167966360143976</c:v>
                </c:pt>
                <c:pt idx="3">
                  <c:v>0.79981614849735561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A5-482F-90F7-17B84367F704}"/>
            </c:ext>
          </c:extLst>
        </c:ser>
        <c:ser>
          <c:idx val="2"/>
          <c:order val="2"/>
          <c:tx>
            <c:strRef>
              <c:f>'Combine load'!$D$15</c:f>
              <c:strCache>
                <c:ptCount val="1"/>
                <c:pt idx="0">
                  <c:v>Case 1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load'!$D$19:$H$19</c:f>
              <c:numCache>
                <c:formatCode>General</c:formatCode>
                <c:ptCount val="5"/>
                <c:pt idx="0">
                  <c:v>0</c:v>
                </c:pt>
                <c:pt idx="1">
                  <c:v>6.5403527043672458E-2</c:v>
                </c:pt>
                <c:pt idx="2">
                  <c:v>0.13080705408734492</c:v>
                </c:pt>
                <c:pt idx="3">
                  <c:v>0.19621058113101736</c:v>
                </c:pt>
                <c:pt idx="4">
                  <c:v>0.26161410817468983</c:v>
                </c:pt>
              </c:numCache>
            </c:numRef>
          </c:xVal>
          <c:yVal>
            <c:numRef>
              <c:f>'Combine load'!$D$18:$H$18</c:f>
              <c:numCache>
                <c:formatCode>General</c:formatCode>
                <c:ptCount val="5"/>
                <c:pt idx="0">
                  <c:v>0.99251861030624322</c:v>
                </c:pt>
                <c:pt idx="1">
                  <c:v>1.0243944856971605</c:v>
                </c:pt>
                <c:pt idx="2">
                  <c:v>1.0502206528591704</c:v>
                </c:pt>
                <c:pt idx="3">
                  <c:v>1.0696617070239347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A-44F7-8C44-9446FD758213}"/>
            </c:ext>
          </c:extLst>
        </c:ser>
        <c:ser>
          <c:idx val="4"/>
          <c:order val="4"/>
          <c:tx>
            <c:strRef>
              <c:f>'Combine load'!$D$21</c:f>
              <c:strCache>
                <c:ptCount val="1"/>
                <c:pt idx="0">
                  <c:v>Case 2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load'!$D$25:$H$25</c:f>
              <c:numCache>
                <c:formatCode>General</c:formatCode>
                <c:ptCount val="5"/>
                <c:pt idx="0">
                  <c:v>0</c:v>
                </c:pt>
                <c:pt idx="1">
                  <c:v>6.5190847912514907E-2</c:v>
                </c:pt>
                <c:pt idx="2">
                  <c:v>0.13038169582502981</c:v>
                </c:pt>
                <c:pt idx="3">
                  <c:v>0.19557254373754471</c:v>
                </c:pt>
                <c:pt idx="4">
                  <c:v>0.26076339165005963</c:v>
                </c:pt>
              </c:numCache>
            </c:numRef>
          </c:xVal>
          <c:yVal>
            <c:numRef>
              <c:f>'Combine load'!$D$24:$H$24</c:f>
              <c:numCache>
                <c:formatCode>General</c:formatCode>
                <c:ptCount val="5"/>
                <c:pt idx="0">
                  <c:v>0.98453721905968661</c:v>
                </c:pt>
                <c:pt idx="1">
                  <c:v>1.0240435529302887</c:v>
                </c:pt>
                <c:pt idx="2">
                  <c:v>1.0496864897095952</c:v>
                </c:pt>
                <c:pt idx="3">
                  <c:v>1.0690747486793439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2A-44F7-8C44-9446FD758213}"/>
            </c:ext>
          </c:extLst>
        </c:ser>
        <c:ser>
          <c:idx val="5"/>
          <c:order val="5"/>
          <c:tx>
            <c:strRef>
              <c:f>'Combine load'!$AI$47</c:f>
              <c:strCache>
                <c:ptCount val="1"/>
                <c:pt idx="0">
                  <c:v>ECCS Linear (m=1,n=1)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load'!$AH$49:$AH$54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'Combine load'!$AI$49:$AI$54</c:f>
              <c:numCache>
                <c:formatCode>General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E-401B-B205-0449D75CA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444592"/>
        <c:axId val="1155441712"/>
      </c:scatterChart>
      <c:scatterChart>
        <c:scatterStyle val="smoothMarker"/>
        <c:varyColors val="0"/>
        <c:ser>
          <c:idx val="3"/>
          <c:order val="3"/>
          <c:tx>
            <c:strRef>
              <c:f>'Combine load'!$D$27</c:f>
              <c:strCache>
                <c:ptCount val="1"/>
                <c:pt idx="0">
                  <c:v>Case 3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load'!$D$30:$H$30</c:f>
              <c:numCache>
                <c:formatCode>General</c:formatCode>
                <c:ptCount val="5"/>
                <c:pt idx="0">
                  <c:v>0.98015832347305432</c:v>
                </c:pt>
                <c:pt idx="1">
                  <c:v>0.99425774614206874</c:v>
                </c:pt>
                <c:pt idx="2">
                  <c:v>0.91621402550939601</c:v>
                </c:pt>
                <c:pt idx="3">
                  <c:v>0.71751775626632375</c:v>
                </c:pt>
                <c:pt idx="4">
                  <c:v>0</c:v>
                </c:pt>
              </c:numCache>
            </c:numRef>
          </c:xVal>
          <c:yVal>
            <c:numRef>
              <c:f>'Combine load'!$D$31:$H$31</c:f>
              <c:numCache>
                <c:formatCode>General</c:formatCode>
                <c:ptCount val="5"/>
                <c:pt idx="0">
                  <c:v>0</c:v>
                </c:pt>
                <c:pt idx="1">
                  <c:v>9.6697777822285877E-2</c:v>
                </c:pt>
                <c:pt idx="2">
                  <c:v>0.19339605636059565</c:v>
                </c:pt>
                <c:pt idx="3">
                  <c:v>0.29009383418288154</c:v>
                </c:pt>
                <c:pt idx="4">
                  <c:v>0.26161410817468983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2A-44F7-8C44-9446FD758213}"/>
            </c:ext>
          </c:extLst>
        </c:ser>
        <c:ser>
          <c:idx val="6"/>
          <c:order val="6"/>
          <c:tx>
            <c:strRef>
              <c:f>'Combine load'!$AJ$47</c:f>
              <c:strCache>
                <c:ptCount val="1"/>
                <c:pt idx="0">
                  <c:v>Das Parabolic (m=1,n=2)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load'!$AH$49:$AH$54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'Combine load'!$AJ$49:$AJ$54</c:f>
              <c:numCache>
                <c:formatCode>General</c:formatCode>
                <c:ptCount val="6"/>
                <c:pt idx="0">
                  <c:v>1</c:v>
                </c:pt>
                <c:pt idx="1">
                  <c:v>0.96</c:v>
                </c:pt>
                <c:pt idx="2">
                  <c:v>0.84</c:v>
                </c:pt>
                <c:pt idx="3">
                  <c:v>0.64</c:v>
                </c:pt>
                <c:pt idx="4">
                  <c:v>0.36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AE-401B-B205-0449D75CAA93}"/>
            </c:ext>
          </c:extLst>
        </c:ser>
        <c:ser>
          <c:idx val="7"/>
          <c:order val="7"/>
          <c:tx>
            <c:strRef>
              <c:f>'Combine load'!$AK$47</c:f>
              <c:strCache>
                <c:ptCount val="1"/>
                <c:pt idx="0">
                  <c:v>DNV Quadratic (m=2,n=2)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load'!$AH$49:$AH$54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'Combine load'!$AK$49:$AK$54</c:f>
              <c:numCache>
                <c:formatCode>General</c:formatCode>
                <c:ptCount val="6"/>
                <c:pt idx="0">
                  <c:v>1</c:v>
                </c:pt>
                <c:pt idx="1">
                  <c:v>0.98</c:v>
                </c:pt>
                <c:pt idx="2">
                  <c:v>0.91700000000000004</c:v>
                </c:pt>
                <c:pt idx="3">
                  <c:v>0.8</c:v>
                </c:pt>
                <c:pt idx="4">
                  <c:v>0.6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AE-401B-B205-0449D75CA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444592"/>
        <c:axId val="1155441712"/>
      </c:scatterChart>
      <c:valAx>
        <c:axId val="1155444592"/>
        <c:scaling>
          <c:orientation val="minMax"/>
          <c:max val="1.05"/>
          <c:min val="0"/>
        </c:scaling>
        <c:delete val="0"/>
        <c:axPos val="b"/>
        <c:title>
          <c:tx>
            <c:rich>
              <a:bodyPr rot="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i="1"/>
                  <a:t>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41712"/>
        <c:crosses val="autoZero"/>
        <c:crossBetween val="midCat"/>
        <c:majorUnit val="0.25"/>
      </c:valAx>
      <c:valAx>
        <c:axId val="1155441712"/>
        <c:scaling>
          <c:orientation val="minMax"/>
          <c:max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i="1"/>
                  <a:t>Rx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44592"/>
        <c:crosses val="autoZero"/>
        <c:crossBetween val="midCat"/>
        <c:maj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2700" cap="flat" cmpd="sng" algn="ctr">
              <a:solidFill>
                <a:schemeClr val="dk1"/>
              </a:solidFill>
              <a:prstDash val="dash"/>
              <a:miter lim="800000"/>
            </a:ln>
            <a:effectLst/>
          </c:spPr>
          <c:marker>
            <c:symbol val="none"/>
          </c:marker>
          <c:xVal>
            <c:numRef>
              <c:f>'Combine load'!$L$12:$L$42</c:f>
              <c:numCache>
                <c:formatCode>General</c:formatCode>
                <c:ptCount val="31"/>
                <c:pt idx="0">
                  <c:v>0</c:v>
                </c:pt>
                <c:pt idx="1">
                  <c:v>9.9998499999999994E-3</c:v>
                </c:pt>
                <c:pt idx="2">
                  <c:v>1.9999400000000001E-2</c:v>
                </c:pt>
                <c:pt idx="3">
                  <c:v>3.49982E-2</c:v>
                </c:pt>
                <c:pt idx="4">
                  <c:v>5.74951E-2</c:v>
                </c:pt>
                <c:pt idx="5">
                  <c:v>9.1237399999999996E-2</c:v>
                </c:pt>
                <c:pt idx="6">
                  <c:v>0.110235</c:v>
                </c:pt>
                <c:pt idx="7">
                  <c:v>0.111248</c:v>
                </c:pt>
                <c:pt idx="8">
                  <c:v>0.11275300000000001</c:v>
                </c:pt>
                <c:pt idx="9">
                  <c:v>0.114985</c:v>
                </c:pt>
                <c:pt idx="10">
                  <c:v>0.11819200000000001</c:v>
                </c:pt>
                <c:pt idx="11">
                  <c:v>0.122513</c:v>
                </c:pt>
                <c:pt idx="12">
                  <c:v>0.12867300000000001</c:v>
                </c:pt>
                <c:pt idx="13">
                  <c:v>0.13772100000000001</c:v>
                </c:pt>
                <c:pt idx="14">
                  <c:v>0.15109700000000001</c:v>
                </c:pt>
                <c:pt idx="15">
                  <c:v>0.17126</c:v>
                </c:pt>
                <c:pt idx="16">
                  <c:v>0.20152800000000001</c:v>
                </c:pt>
                <c:pt idx="17">
                  <c:v>0.24769099999999999</c:v>
                </c:pt>
                <c:pt idx="18">
                  <c:v>0.31896000000000002</c:v>
                </c:pt>
                <c:pt idx="19">
                  <c:v>0.43092599999999998</c:v>
                </c:pt>
                <c:pt idx="20">
                  <c:v>0.61044100000000001</c:v>
                </c:pt>
                <c:pt idx="21">
                  <c:v>0.89702499999999996</c:v>
                </c:pt>
                <c:pt idx="22">
                  <c:v>1.0636399999999999</c:v>
                </c:pt>
                <c:pt idx="23">
                  <c:v>1.3186199999999999</c:v>
                </c:pt>
                <c:pt idx="24">
                  <c:v>1.70889</c:v>
                </c:pt>
                <c:pt idx="25">
                  <c:v>2.105</c:v>
                </c:pt>
                <c:pt idx="26">
                  <c:v>2.5047999999999999</c:v>
                </c:pt>
                <c:pt idx="27">
                  <c:v>2.90733</c:v>
                </c:pt>
                <c:pt idx="28">
                  <c:v>3.3117999999999999</c:v>
                </c:pt>
                <c:pt idx="29">
                  <c:v>3.7178300000000002</c:v>
                </c:pt>
                <c:pt idx="30">
                  <c:v>4.1250900000000001</c:v>
                </c:pt>
              </c:numCache>
            </c:numRef>
          </c:xVal>
          <c:yVal>
            <c:numRef>
              <c:f>'Combine load'!$K$12:$K$42</c:f>
              <c:numCache>
                <c:formatCode>General</c:formatCode>
                <c:ptCount val="31"/>
                <c:pt idx="0">
                  <c:v>0</c:v>
                </c:pt>
                <c:pt idx="1">
                  <c:v>2.7686599999999997</c:v>
                </c:pt>
                <c:pt idx="2">
                  <c:v>5.5374499999999998</c:v>
                </c:pt>
                <c:pt idx="3">
                  <c:v>9.6908500000000011</c:v>
                </c:pt>
                <c:pt idx="4">
                  <c:v>15.9214</c:v>
                </c:pt>
                <c:pt idx="5">
                  <c:v>25.267900000000001</c:v>
                </c:pt>
                <c:pt idx="6">
                  <c:v>30.493500000000001</c:v>
                </c:pt>
                <c:pt idx="7">
                  <c:v>30.748200000000001</c:v>
                </c:pt>
                <c:pt idx="8">
                  <c:v>31.103900000000003</c:v>
                </c:pt>
                <c:pt idx="9">
                  <c:v>31.587400000000002</c:v>
                </c:pt>
                <c:pt idx="10">
                  <c:v>32.010599999999997</c:v>
                </c:pt>
                <c:pt idx="11">
                  <c:v>32.1999</c:v>
                </c:pt>
                <c:pt idx="12">
                  <c:v>32.184100000000001</c:v>
                </c:pt>
                <c:pt idx="13">
                  <c:v>31.993099999999998</c:v>
                </c:pt>
                <c:pt idx="14">
                  <c:v>31.611999999999998</c:v>
                </c:pt>
                <c:pt idx="15">
                  <c:v>30.919</c:v>
                </c:pt>
                <c:pt idx="16">
                  <c:v>29.788599999999999</c:v>
                </c:pt>
                <c:pt idx="17">
                  <c:v>28.0351</c:v>
                </c:pt>
                <c:pt idx="18">
                  <c:v>25.418500000000002</c:v>
                </c:pt>
                <c:pt idx="19">
                  <c:v>21.979500000000002</c:v>
                </c:pt>
                <c:pt idx="20">
                  <c:v>18.366199999999999</c:v>
                </c:pt>
                <c:pt idx="21">
                  <c:v>14.9937</c:v>
                </c:pt>
                <c:pt idx="22">
                  <c:v>13.712299999999999</c:v>
                </c:pt>
                <c:pt idx="23">
                  <c:v>12.2461</c:v>
                </c:pt>
                <c:pt idx="24">
                  <c:v>10.684100000000001</c:v>
                </c:pt>
                <c:pt idx="25">
                  <c:v>9.5812000000000008</c:v>
                </c:pt>
                <c:pt idx="26">
                  <c:v>8.7537199999999995</c:v>
                </c:pt>
                <c:pt idx="27">
                  <c:v>8.104470000000001</c:v>
                </c:pt>
                <c:pt idx="28">
                  <c:v>7.5777099999999997</c:v>
                </c:pt>
                <c:pt idx="29">
                  <c:v>7.1388199999999999</c:v>
                </c:pt>
                <c:pt idx="30">
                  <c:v>6.7653999999999996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A8-4862-80C4-A70B4D604088}"/>
            </c:ext>
          </c:extLst>
        </c:ser>
        <c:ser>
          <c:idx val="1"/>
          <c:order val="1"/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load'!$O$12:$O$42</c:f>
              <c:numCache>
                <c:formatCode>General</c:formatCode>
                <c:ptCount val="31"/>
                <c:pt idx="0">
                  <c:v>0</c:v>
                </c:pt>
                <c:pt idx="1">
                  <c:v>9.9998599999999993E-3</c:v>
                </c:pt>
                <c:pt idx="2">
                  <c:v>1.9999400000000001E-2</c:v>
                </c:pt>
                <c:pt idx="3">
                  <c:v>3.49982E-2</c:v>
                </c:pt>
                <c:pt idx="4">
                  <c:v>5.74951E-2</c:v>
                </c:pt>
                <c:pt idx="5">
                  <c:v>9.1237399999999996E-2</c:v>
                </c:pt>
                <c:pt idx="6">
                  <c:v>0.110219</c:v>
                </c:pt>
                <c:pt idx="7">
                  <c:v>0.14960799999999999</c:v>
                </c:pt>
                <c:pt idx="8">
                  <c:v>0.17644099999999999</c:v>
                </c:pt>
                <c:pt idx="9">
                  <c:v>0.20317199999999999</c:v>
                </c:pt>
                <c:pt idx="10">
                  <c:v>0.243175</c:v>
                </c:pt>
                <c:pt idx="11">
                  <c:v>0.30295299999999997</c:v>
                </c:pt>
                <c:pt idx="12">
                  <c:v>0.39244000000000001</c:v>
                </c:pt>
                <c:pt idx="13">
                  <c:v>0.52661500000000006</c:v>
                </c:pt>
                <c:pt idx="14">
                  <c:v>0.72259600000000002</c:v>
                </c:pt>
                <c:pt idx="15">
                  <c:v>0.73265599999999997</c:v>
                </c:pt>
                <c:pt idx="16">
                  <c:v>0.74736899999999995</c:v>
                </c:pt>
                <c:pt idx="17">
                  <c:v>0.76940200000000003</c:v>
                </c:pt>
                <c:pt idx="18">
                  <c:v>0.80176599999999998</c:v>
                </c:pt>
                <c:pt idx="19">
                  <c:v>0.80357800000000001</c:v>
                </c:pt>
                <c:pt idx="20">
                  <c:v>0.80613299999999999</c:v>
                </c:pt>
                <c:pt idx="21">
                  <c:v>0.809948</c:v>
                </c:pt>
                <c:pt idx="22">
                  <c:v>0.81022499999999997</c:v>
                </c:pt>
                <c:pt idx="23">
                  <c:v>0.81055600000000005</c:v>
                </c:pt>
                <c:pt idx="24">
                  <c:v>0.81078099999999997</c:v>
                </c:pt>
                <c:pt idx="25">
                  <c:v>0.81111900000000003</c:v>
                </c:pt>
                <c:pt idx="26">
                  <c:v>0.81152599999999997</c:v>
                </c:pt>
                <c:pt idx="27">
                  <c:v>0.81212200000000001</c:v>
                </c:pt>
                <c:pt idx="28">
                  <c:v>0.81455500000000003</c:v>
                </c:pt>
                <c:pt idx="29">
                  <c:v>0.81535299999999999</c:v>
                </c:pt>
                <c:pt idx="30">
                  <c:v>0.81610799999999994</c:v>
                </c:pt>
              </c:numCache>
            </c:numRef>
          </c:xVal>
          <c:yVal>
            <c:numRef>
              <c:f>'Combine load'!$N$12:$N$42</c:f>
              <c:numCache>
                <c:formatCode>General</c:formatCode>
                <c:ptCount val="31"/>
                <c:pt idx="0">
                  <c:v>0</c:v>
                </c:pt>
                <c:pt idx="1">
                  <c:v>1.79349</c:v>
                </c:pt>
                <c:pt idx="2">
                  <c:v>3.5870500000000001</c:v>
                </c:pt>
                <c:pt idx="3">
                  <c:v>6.2775200000000009</c:v>
                </c:pt>
                <c:pt idx="4">
                  <c:v>10.3134</c:v>
                </c:pt>
                <c:pt idx="5">
                  <c:v>16.367599999999999</c:v>
                </c:pt>
                <c:pt idx="6">
                  <c:v>19.767599999999998</c:v>
                </c:pt>
                <c:pt idx="7">
                  <c:v>22.3566</c:v>
                </c:pt>
                <c:pt idx="8">
                  <c:v>23.391400000000001</c:v>
                </c:pt>
                <c:pt idx="9">
                  <c:v>24.359500000000001</c:v>
                </c:pt>
                <c:pt idx="10">
                  <c:v>25.694099999999999</c:v>
                </c:pt>
                <c:pt idx="11">
                  <c:v>27.452200000000001</c:v>
                </c:pt>
                <c:pt idx="12">
                  <c:v>29.604599999999998</c:v>
                </c:pt>
                <c:pt idx="13">
                  <c:v>31.9422</c:v>
                </c:pt>
                <c:pt idx="14">
                  <c:v>33.264600000000002</c:v>
                </c:pt>
                <c:pt idx="15">
                  <c:v>33.276199999999996</c:v>
                </c:pt>
                <c:pt idx="16">
                  <c:v>33.279199999999996</c:v>
                </c:pt>
                <c:pt idx="17">
                  <c:v>33.252900000000004</c:v>
                </c:pt>
                <c:pt idx="18">
                  <c:v>33.166199999999996</c:v>
                </c:pt>
                <c:pt idx="19">
                  <c:v>33.160699999999999</c:v>
                </c:pt>
                <c:pt idx="20">
                  <c:v>33.152500000000003</c:v>
                </c:pt>
                <c:pt idx="21">
                  <c:v>33.139600000000002</c:v>
                </c:pt>
                <c:pt idx="22">
                  <c:v>33.1372</c:v>
                </c:pt>
                <c:pt idx="23">
                  <c:v>33.133000000000003</c:v>
                </c:pt>
                <c:pt idx="24">
                  <c:v>33.130099999999999</c:v>
                </c:pt>
                <c:pt idx="25">
                  <c:v>33.125699999999995</c:v>
                </c:pt>
                <c:pt idx="26">
                  <c:v>33.1203</c:v>
                </c:pt>
                <c:pt idx="27">
                  <c:v>33.112400000000001</c:v>
                </c:pt>
                <c:pt idx="28">
                  <c:v>33.078800000000001</c:v>
                </c:pt>
                <c:pt idx="29">
                  <c:v>33.067399999999999</c:v>
                </c:pt>
                <c:pt idx="30">
                  <c:v>33.0565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A8-4862-80C4-A70B4D604088}"/>
            </c:ext>
          </c:extLst>
        </c:ser>
        <c:ser>
          <c:idx val="2"/>
          <c:order val="2"/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load'!$R$12:$R$42</c:f>
              <c:numCache>
                <c:formatCode>General</c:formatCode>
                <c:ptCount val="31"/>
                <c:pt idx="0">
                  <c:v>0</c:v>
                </c:pt>
                <c:pt idx="1">
                  <c:v>9.9998599999999993E-3</c:v>
                </c:pt>
                <c:pt idx="2">
                  <c:v>1.9999400000000001E-2</c:v>
                </c:pt>
                <c:pt idx="3">
                  <c:v>3.49982E-2</c:v>
                </c:pt>
                <c:pt idx="4">
                  <c:v>5.7495200000000003E-2</c:v>
                </c:pt>
                <c:pt idx="5">
                  <c:v>9.1237600000000002E-2</c:v>
                </c:pt>
                <c:pt idx="6">
                  <c:v>0.15140600000000001</c:v>
                </c:pt>
                <c:pt idx="7">
                  <c:v>0.163215</c:v>
                </c:pt>
                <c:pt idx="8">
                  <c:v>0.17496999999999999</c:v>
                </c:pt>
                <c:pt idx="9">
                  <c:v>0.19250999999999999</c:v>
                </c:pt>
                <c:pt idx="10">
                  <c:v>0.218641</c:v>
                </c:pt>
                <c:pt idx="11">
                  <c:v>0.25748700000000002</c:v>
                </c:pt>
                <c:pt idx="12">
                  <c:v>0.315135</c:v>
                </c:pt>
                <c:pt idx="13">
                  <c:v>0.40068799999999999</c:v>
                </c:pt>
                <c:pt idx="14">
                  <c:v>0.44717800000000002</c:v>
                </c:pt>
                <c:pt idx="15">
                  <c:v>0.50867499999999999</c:v>
                </c:pt>
                <c:pt idx="16">
                  <c:v>0.55829300000000004</c:v>
                </c:pt>
                <c:pt idx="17">
                  <c:v>0.61060999999999999</c:v>
                </c:pt>
                <c:pt idx="18">
                  <c:v>0.66697399999999996</c:v>
                </c:pt>
                <c:pt idx="19">
                  <c:v>0.75800599999999996</c:v>
                </c:pt>
                <c:pt idx="20">
                  <c:v>0.90257799999999999</c:v>
                </c:pt>
                <c:pt idx="21">
                  <c:v>1.0517399999999999</c:v>
                </c:pt>
                <c:pt idx="22">
                  <c:v>1.2035400000000001</c:v>
                </c:pt>
                <c:pt idx="23">
                  <c:v>1.3569800000000001</c:v>
                </c:pt>
                <c:pt idx="24">
                  <c:v>1.58917</c:v>
                </c:pt>
                <c:pt idx="25">
                  <c:v>1.82254</c:v>
                </c:pt>
                <c:pt idx="26">
                  <c:v>2.0563699999999998</c:v>
                </c:pt>
                <c:pt idx="27">
                  <c:v>2.4082300000000001</c:v>
                </c:pt>
                <c:pt idx="28">
                  <c:v>2.9432200000000002</c:v>
                </c:pt>
                <c:pt idx="29">
                  <c:v>3.07734</c:v>
                </c:pt>
                <c:pt idx="30">
                  <c:v>3.2116199999999999</c:v>
                </c:pt>
              </c:numCache>
            </c:numRef>
          </c:xVal>
          <c:yVal>
            <c:numRef>
              <c:f>'Combine load'!$Q$12:$Q$42</c:f>
              <c:numCache>
                <c:formatCode>General</c:formatCode>
                <c:ptCount val="31"/>
                <c:pt idx="0">
                  <c:v>2.08161</c:v>
                </c:pt>
                <c:pt idx="1">
                  <c:v>4.1634500000000001</c:v>
                </c:pt>
                <c:pt idx="2">
                  <c:v>7.2865799999999998</c:v>
                </c:pt>
                <c:pt idx="3">
                  <c:v>11.972100000000001</c:v>
                </c:pt>
                <c:pt idx="4">
                  <c:v>19.001999999999999</c:v>
                </c:pt>
                <c:pt idx="5">
                  <c:v>26.941299999999998</c:v>
                </c:pt>
                <c:pt idx="6">
                  <c:v>27.716000000000001</c:v>
                </c:pt>
                <c:pt idx="7">
                  <c:v>28.4633</c:v>
                </c:pt>
                <c:pt idx="8">
                  <c:v>29.531500000000001</c:v>
                </c:pt>
                <c:pt idx="9">
                  <c:v>31.015700000000002</c:v>
                </c:pt>
                <c:pt idx="10">
                  <c:v>32.9863</c:v>
                </c:pt>
                <c:pt idx="11">
                  <c:v>35.408999999999999</c:v>
                </c:pt>
                <c:pt idx="12">
                  <c:v>38.026000000000003</c:v>
                </c:pt>
                <c:pt idx="13">
                  <c:v>38.731900000000003</c:v>
                </c:pt>
                <c:pt idx="14">
                  <c:v>38.219000000000001</c:v>
                </c:pt>
                <c:pt idx="15">
                  <c:v>36.322300000000006</c:v>
                </c:pt>
                <c:pt idx="16">
                  <c:v>34.154199999999996</c:v>
                </c:pt>
                <c:pt idx="17">
                  <c:v>32.273099999999999</c:v>
                </c:pt>
                <c:pt idx="18">
                  <c:v>30.307200000000002</c:v>
                </c:pt>
                <c:pt idx="19">
                  <c:v>28.415099999999999</c:v>
                </c:pt>
                <c:pt idx="20">
                  <c:v>27.185700000000001</c:v>
                </c:pt>
                <c:pt idx="21">
                  <c:v>26.2805</c:v>
                </c:pt>
                <c:pt idx="22">
                  <c:v>25.5639</c:v>
                </c:pt>
                <c:pt idx="23">
                  <c:v>24.7012</c:v>
                </c:pt>
                <c:pt idx="24">
                  <c:v>24.0016</c:v>
                </c:pt>
                <c:pt idx="25">
                  <c:v>23.403400000000001</c:v>
                </c:pt>
                <c:pt idx="26">
                  <c:v>22.636200000000002</c:v>
                </c:pt>
                <c:pt idx="27">
                  <c:v>21.686400000000003</c:v>
                </c:pt>
                <c:pt idx="28">
                  <c:v>21.479700000000001</c:v>
                </c:pt>
                <c:pt idx="29">
                  <c:v>21.283099999999997</c:v>
                </c:pt>
                <c:pt idx="30">
                  <c:v>68.776699999999991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A8-4862-80C4-A70B4D604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534079"/>
        <c:axId val="1403542239"/>
      </c:scatterChart>
      <c:valAx>
        <c:axId val="1403534079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42239"/>
        <c:crosses val="autoZero"/>
        <c:crossBetween val="midCat"/>
      </c:valAx>
      <c:valAx>
        <c:axId val="1403542239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i="1"/>
                  <a:t>F</a:t>
                </a:r>
                <a:r>
                  <a:rPr lang="en-MY"/>
                  <a:t>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3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'Combine load'!$K$46</c:f>
              <c:strCache>
                <c:ptCount val="1"/>
                <c:pt idx="0">
                  <c:v>B-ST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dash"/>
              <a:miter lim="800000"/>
            </a:ln>
            <a:effectLst/>
          </c:spPr>
          <c:marker>
            <c:symbol val="none"/>
          </c:marker>
          <c:xVal>
            <c:numRef>
              <c:f>'Combine load'!$L$48:$L$78</c:f>
              <c:numCache>
                <c:formatCode>General</c:formatCode>
                <c:ptCount val="31"/>
                <c:pt idx="0">
                  <c:v>0</c:v>
                </c:pt>
                <c:pt idx="1">
                  <c:v>9.9531600000000008E-3</c:v>
                </c:pt>
                <c:pt idx="2">
                  <c:v>1.98079E-2</c:v>
                </c:pt>
                <c:pt idx="3">
                  <c:v>3.4390900000000002E-2</c:v>
                </c:pt>
                <c:pt idx="4">
                  <c:v>5.5748100000000002E-2</c:v>
                </c:pt>
                <c:pt idx="5">
                  <c:v>8.6200200000000005E-2</c:v>
                </c:pt>
                <c:pt idx="6">
                  <c:v>0.100589</c:v>
                </c:pt>
                <c:pt idx="7">
                  <c:v>0.103587</c:v>
                </c:pt>
                <c:pt idx="8">
                  <c:v>0.104531</c:v>
                </c:pt>
                <c:pt idx="9">
                  <c:v>0.107762</c:v>
                </c:pt>
                <c:pt idx="10">
                  <c:v>0.10805099999999999</c:v>
                </c:pt>
                <c:pt idx="11">
                  <c:v>0.10821600000000001</c:v>
                </c:pt>
                <c:pt idx="12">
                  <c:v>0.10831</c:v>
                </c:pt>
                <c:pt idx="13">
                  <c:v>0.108363</c:v>
                </c:pt>
                <c:pt idx="14">
                  <c:v>0.108366</c:v>
                </c:pt>
                <c:pt idx="15">
                  <c:v>0.10836800000000001</c:v>
                </c:pt>
                <c:pt idx="16">
                  <c:v>0.10836999999999999</c:v>
                </c:pt>
                <c:pt idx="17">
                  <c:v>0.108373</c:v>
                </c:pt>
                <c:pt idx="18">
                  <c:v>0.108378</c:v>
                </c:pt>
                <c:pt idx="19">
                  <c:v>0.10838100000000001</c:v>
                </c:pt>
                <c:pt idx="20">
                  <c:v>0.108386</c:v>
                </c:pt>
                <c:pt idx="21">
                  <c:v>0.108389</c:v>
                </c:pt>
                <c:pt idx="22">
                  <c:v>0.108392</c:v>
                </c:pt>
                <c:pt idx="23">
                  <c:v>0.10839799999999999</c:v>
                </c:pt>
                <c:pt idx="24">
                  <c:v>0.108401</c:v>
                </c:pt>
                <c:pt idx="25">
                  <c:v>0.108404</c:v>
                </c:pt>
                <c:pt idx="26">
                  <c:v>0.108405</c:v>
                </c:pt>
                <c:pt idx="27">
                  <c:v>0.108405</c:v>
                </c:pt>
                <c:pt idx="28">
                  <c:v>0.108405</c:v>
                </c:pt>
                <c:pt idx="29">
                  <c:v>0.108406</c:v>
                </c:pt>
                <c:pt idx="30">
                  <c:v>0.108406</c:v>
                </c:pt>
              </c:numCache>
            </c:numRef>
          </c:xVal>
          <c:yVal>
            <c:numRef>
              <c:f>'Combine load'!$K$48:$K$78</c:f>
              <c:numCache>
                <c:formatCode>General</c:formatCode>
                <c:ptCount val="31"/>
                <c:pt idx="0">
                  <c:v>0</c:v>
                </c:pt>
                <c:pt idx="1">
                  <c:v>16.387499999999999</c:v>
                </c:pt>
                <c:pt idx="2">
                  <c:v>32.568599999999996</c:v>
                </c:pt>
                <c:pt idx="3">
                  <c:v>56.421099999999996</c:v>
                </c:pt>
                <c:pt idx="4">
                  <c:v>91.107900000000001</c:v>
                </c:pt>
                <c:pt idx="5">
                  <c:v>139.78899999999999</c:v>
                </c:pt>
                <c:pt idx="6">
                  <c:v>158.96700000000001</c:v>
                </c:pt>
                <c:pt idx="7">
                  <c:v>160.46899999999999</c:v>
                </c:pt>
                <c:pt idx="8">
                  <c:v>155.827</c:v>
                </c:pt>
                <c:pt idx="9">
                  <c:v>149.916</c:v>
                </c:pt>
                <c:pt idx="10">
                  <c:v>149.59800000000001</c:v>
                </c:pt>
                <c:pt idx="11">
                  <c:v>149.42099999999999</c:v>
                </c:pt>
                <c:pt idx="12">
                  <c:v>149.322</c:v>
                </c:pt>
                <c:pt idx="13">
                  <c:v>149.267</c:v>
                </c:pt>
                <c:pt idx="14">
                  <c:v>149.26599999999999</c:v>
                </c:pt>
                <c:pt idx="15">
                  <c:v>149.26599999999999</c:v>
                </c:pt>
                <c:pt idx="16">
                  <c:v>149.261</c:v>
                </c:pt>
                <c:pt idx="17">
                  <c:v>149.25800000000001</c:v>
                </c:pt>
                <c:pt idx="18">
                  <c:v>149.251</c:v>
                </c:pt>
                <c:pt idx="19">
                  <c:v>149.249</c:v>
                </c:pt>
                <c:pt idx="20">
                  <c:v>149.24299999999999</c:v>
                </c:pt>
                <c:pt idx="21">
                  <c:v>149.24299999999999</c:v>
                </c:pt>
                <c:pt idx="22">
                  <c:v>149.239</c:v>
                </c:pt>
                <c:pt idx="23">
                  <c:v>149.23099999999999</c:v>
                </c:pt>
                <c:pt idx="24">
                  <c:v>149.22900000000001</c:v>
                </c:pt>
                <c:pt idx="25">
                  <c:v>149.23099999999999</c:v>
                </c:pt>
                <c:pt idx="26">
                  <c:v>149.232</c:v>
                </c:pt>
                <c:pt idx="27">
                  <c:v>149.232</c:v>
                </c:pt>
                <c:pt idx="28">
                  <c:v>149.233</c:v>
                </c:pt>
                <c:pt idx="29">
                  <c:v>149.233</c:v>
                </c:pt>
                <c:pt idx="30">
                  <c:v>149.233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2E-437A-8A41-801B4830E872}"/>
            </c:ext>
          </c:extLst>
        </c:ser>
        <c:ser>
          <c:idx val="0"/>
          <c:order val="1"/>
          <c:tx>
            <c:strRef>
              <c:f>'Combine load'!$N$46</c:f>
              <c:strCache>
                <c:ptCount val="1"/>
                <c:pt idx="0">
                  <c:v>B-1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load'!$O$48:$O$78</c:f>
              <c:numCache>
                <c:formatCode>General</c:formatCode>
                <c:ptCount val="31"/>
                <c:pt idx="0">
                  <c:v>0</c:v>
                </c:pt>
                <c:pt idx="1">
                  <c:v>9.9505300000000008E-3</c:v>
                </c:pt>
                <c:pt idx="2">
                  <c:v>1.9795799999999999E-2</c:v>
                </c:pt>
                <c:pt idx="3">
                  <c:v>3.4346300000000003E-2</c:v>
                </c:pt>
                <c:pt idx="4">
                  <c:v>5.5583899999999999E-2</c:v>
                </c:pt>
                <c:pt idx="5">
                  <c:v>8.5473400000000005E-2</c:v>
                </c:pt>
                <c:pt idx="6">
                  <c:v>9.6948099999999995E-2</c:v>
                </c:pt>
                <c:pt idx="7">
                  <c:v>9.80375E-2</c:v>
                </c:pt>
                <c:pt idx="8">
                  <c:v>9.9424100000000001E-2</c:v>
                </c:pt>
                <c:pt idx="9">
                  <c:v>9.9850999999999995E-2</c:v>
                </c:pt>
                <c:pt idx="10">
                  <c:v>0.10011</c:v>
                </c:pt>
                <c:pt idx="11">
                  <c:v>9.9992600000000001E-2</c:v>
                </c:pt>
                <c:pt idx="12">
                  <c:v>9.9879399999999993E-2</c:v>
                </c:pt>
                <c:pt idx="13">
                  <c:v>9.9845199999999995E-2</c:v>
                </c:pt>
                <c:pt idx="14">
                  <c:v>0.100075</c:v>
                </c:pt>
                <c:pt idx="15">
                  <c:v>0.10097399999999999</c:v>
                </c:pt>
                <c:pt idx="16">
                  <c:v>0.102913</c:v>
                </c:pt>
                <c:pt idx="17">
                  <c:v>0.10803599999999999</c:v>
                </c:pt>
                <c:pt idx="18">
                  <c:v>0.11974600000000001</c:v>
                </c:pt>
                <c:pt idx="19">
                  <c:v>0.14208000000000001</c:v>
                </c:pt>
                <c:pt idx="20">
                  <c:v>0.18576500000000001</c:v>
                </c:pt>
                <c:pt idx="21">
                  <c:v>0.27173700000000001</c:v>
                </c:pt>
                <c:pt idx="22">
                  <c:v>0.32903199999999999</c:v>
                </c:pt>
                <c:pt idx="23">
                  <c:v>0.42626199999999997</c:v>
                </c:pt>
                <c:pt idx="24">
                  <c:v>0.48522599999999999</c:v>
                </c:pt>
                <c:pt idx="25">
                  <c:v>0.57896000000000003</c:v>
                </c:pt>
                <c:pt idx="26">
                  <c:v>0.72760899999999995</c:v>
                </c:pt>
                <c:pt idx="27">
                  <c:v>0.88613399999999998</c:v>
                </c:pt>
                <c:pt idx="28">
                  <c:v>1.0535600000000001</c:v>
                </c:pt>
                <c:pt idx="29">
                  <c:v>1.3243799999999999</c:v>
                </c:pt>
                <c:pt idx="30">
                  <c:v>1.3915999999999999</c:v>
                </c:pt>
              </c:numCache>
            </c:numRef>
          </c:xVal>
          <c:yVal>
            <c:numRef>
              <c:f>'Combine load'!$N$48:$N$78</c:f>
              <c:numCache>
                <c:formatCode>General</c:formatCode>
                <c:ptCount val="31"/>
                <c:pt idx="0">
                  <c:v>0</c:v>
                </c:pt>
                <c:pt idx="1">
                  <c:v>10.597</c:v>
                </c:pt>
                <c:pt idx="2">
                  <c:v>21.052199999999999</c:v>
                </c:pt>
                <c:pt idx="3">
                  <c:v>36.4407</c:v>
                </c:pt>
                <c:pt idx="4">
                  <c:v>58.7239</c:v>
                </c:pt>
                <c:pt idx="5">
                  <c:v>89.376300000000001</c:v>
                </c:pt>
                <c:pt idx="6">
                  <c:v>99.273899999999998</c:v>
                </c:pt>
                <c:pt idx="7">
                  <c:v>98.156600000000012</c:v>
                </c:pt>
                <c:pt idx="8">
                  <c:v>97.025100000000009</c:v>
                </c:pt>
                <c:pt idx="9">
                  <c:v>96.765799999999999</c:v>
                </c:pt>
                <c:pt idx="10">
                  <c:v>96.621899999999997</c:v>
                </c:pt>
                <c:pt idx="11">
                  <c:v>95.259799999999998</c:v>
                </c:pt>
                <c:pt idx="12">
                  <c:v>94.486500000000007</c:v>
                </c:pt>
                <c:pt idx="13">
                  <c:v>93.409499999999994</c:v>
                </c:pt>
                <c:pt idx="14">
                  <c:v>91.938100000000006</c:v>
                </c:pt>
                <c:pt idx="15">
                  <c:v>89.991699999999994</c:v>
                </c:pt>
                <c:pt idx="16">
                  <c:v>87.069199999999995</c:v>
                </c:pt>
                <c:pt idx="17">
                  <c:v>83.591200000000001</c:v>
                </c:pt>
                <c:pt idx="18">
                  <c:v>79.714699999999993</c:v>
                </c:pt>
                <c:pt idx="19">
                  <c:v>74.954399999999993</c:v>
                </c:pt>
                <c:pt idx="20">
                  <c:v>69.618899999999996</c:v>
                </c:pt>
                <c:pt idx="21">
                  <c:v>63.526000000000003</c:v>
                </c:pt>
                <c:pt idx="22">
                  <c:v>60.945999999999998</c:v>
                </c:pt>
                <c:pt idx="23">
                  <c:v>56.667300000000004</c:v>
                </c:pt>
                <c:pt idx="24">
                  <c:v>54.717599999999997</c:v>
                </c:pt>
                <c:pt idx="25">
                  <c:v>52.173199999999994</c:v>
                </c:pt>
                <c:pt idx="26">
                  <c:v>48.767400000000002</c:v>
                </c:pt>
                <c:pt idx="27">
                  <c:v>45.8309</c:v>
                </c:pt>
                <c:pt idx="28">
                  <c:v>43.207800000000006</c:v>
                </c:pt>
                <c:pt idx="29">
                  <c:v>40.090000000000003</c:v>
                </c:pt>
                <c:pt idx="30">
                  <c:v>39.450699999999998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2E-437A-8A41-801B4830E872}"/>
            </c:ext>
          </c:extLst>
        </c:ser>
        <c:ser>
          <c:idx val="2"/>
          <c:order val="2"/>
          <c:tx>
            <c:strRef>
              <c:f>'Combine load'!$Q$46</c:f>
              <c:strCache>
                <c:ptCount val="1"/>
                <c:pt idx="0">
                  <c:v>B-2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load'!$R$48:$R$78</c:f>
              <c:numCache>
                <c:formatCode>General</c:formatCode>
                <c:ptCount val="31"/>
                <c:pt idx="0">
                  <c:v>0</c:v>
                </c:pt>
                <c:pt idx="1">
                  <c:v>9.9483799999999997E-3</c:v>
                </c:pt>
                <c:pt idx="2">
                  <c:v>1.97845E-2</c:v>
                </c:pt>
                <c:pt idx="3">
                  <c:v>3.4297800000000003E-2</c:v>
                </c:pt>
                <c:pt idx="4">
                  <c:v>5.5368199999999999E-2</c:v>
                </c:pt>
                <c:pt idx="5">
                  <c:v>8.4786E-2</c:v>
                </c:pt>
                <c:pt idx="6">
                  <c:v>9.9621199999999993E-2</c:v>
                </c:pt>
                <c:pt idx="7">
                  <c:v>0.113757</c:v>
                </c:pt>
                <c:pt idx="8">
                  <c:v>0.132548</c:v>
                </c:pt>
                <c:pt idx="9">
                  <c:v>0.16559599999999999</c:v>
                </c:pt>
                <c:pt idx="10">
                  <c:v>0.22952900000000001</c:v>
                </c:pt>
                <c:pt idx="11">
                  <c:v>0.271171</c:v>
                </c:pt>
                <c:pt idx="12">
                  <c:v>0.34204600000000002</c:v>
                </c:pt>
                <c:pt idx="13">
                  <c:v>0.46204600000000001</c:v>
                </c:pt>
                <c:pt idx="14">
                  <c:v>0.49326500000000001</c:v>
                </c:pt>
                <c:pt idx="15">
                  <c:v>0.52530200000000005</c:v>
                </c:pt>
                <c:pt idx="16">
                  <c:v>0.57513899999999996</c:v>
                </c:pt>
                <c:pt idx="17">
                  <c:v>0.62636899999999995</c:v>
                </c:pt>
                <c:pt idx="18">
                  <c:v>0.679122</c:v>
                </c:pt>
                <c:pt idx="19">
                  <c:v>0.76021899999999998</c:v>
                </c:pt>
                <c:pt idx="20">
                  <c:v>0.88568999999999998</c:v>
                </c:pt>
                <c:pt idx="21">
                  <c:v>1.0790599999999999</c:v>
                </c:pt>
                <c:pt idx="22">
                  <c:v>1.27552</c:v>
                </c:pt>
                <c:pt idx="23">
                  <c:v>1.4739899999999999</c:v>
                </c:pt>
                <c:pt idx="24">
                  <c:v>1.7726999999999999</c:v>
                </c:pt>
                <c:pt idx="25">
                  <c:v>2.0732599999999999</c:v>
                </c:pt>
                <c:pt idx="26">
                  <c:v>2.3798400000000002</c:v>
                </c:pt>
                <c:pt idx="27">
                  <c:v>2.6873900000000002</c:v>
                </c:pt>
                <c:pt idx="28">
                  <c:v>2.99925</c:v>
                </c:pt>
                <c:pt idx="29">
                  <c:v>3.3170600000000001</c:v>
                </c:pt>
                <c:pt idx="30">
                  <c:v>3.63862</c:v>
                </c:pt>
              </c:numCache>
            </c:numRef>
          </c:xVal>
          <c:yVal>
            <c:numRef>
              <c:f>'Combine load'!$Q$48:$Q$78</c:f>
              <c:numCache>
                <c:formatCode>General</c:formatCode>
                <c:ptCount val="31"/>
                <c:pt idx="0">
                  <c:v>0</c:v>
                </c:pt>
                <c:pt idx="1">
                  <c:v>12.2484</c:v>
                </c:pt>
                <c:pt idx="2">
                  <c:v>24.335699999999999</c:v>
                </c:pt>
                <c:pt idx="3">
                  <c:v>42.1203</c:v>
                </c:pt>
                <c:pt idx="4">
                  <c:v>67.787899999999993</c:v>
                </c:pt>
                <c:pt idx="5">
                  <c:v>102.798</c:v>
                </c:pt>
                <c:pt idx="6">
                  <c:v>90.906700000000001</c:v>
                </c:pt>
                <c:pt idx="7">
                  <c:v>86.218800000000002</c:v>
                </c:pt>
                <c:pt idx="8">
                  <c:v>82.784300000000002</c:v>
                </c:pt>
                <c:pt idx="9">
                  <c:v>77.851699999999994</c:v>
                </c:pt>
                <c:pt idx="10">
                  <c:v>71.519600000000011</c:v>
                </c:pt>
                <c:pt idx="11">
                  <c:v>67.5839</c:v>
                </c:pt>
                <c:pt idx="12">
                  <c:v>62.826699999999995</c:v>
                </c:pt>
                <c:pt idx="13">
                  <c:v>57.302099999999996</c:v>
                </c:pt>
                <c:pt idx="14">
                  <c:v>56.154400000000003</c:v>
                </c:pt>
                <c:pt idx="15">
                  <c:v>55.082999999999998</c:v>
                </c:pt>
                <c:pt idx="16">
                  <c:v>53.562400000000004</c:v>
                </c:pt>
                <c:pt idx="17">
                  <c:v>52.094499999999996</c:v>
                </c:pt>
                <c:pt idx="18">
                  <c:v>50.731699999999996</c:v>
                </c:pt>
                <c:pt idx="19">
                  <c:v>48.875099999999996</c:v>
                </c:pt>
                <c:pt idx="20">
                  <c:v>46.484000000000002</c:v>
                </c:pt>
                <c:pt idx="21">
                  <c:v>43.548999999999999</c:v>
                </c:pt>
                <c:pt idx="22">
                  <c:v>41.135199999999998</c:v>
                </c:pt>
                <c:pt idx="23">
                  <c:v>39.063800000000001</c:v>
                </c:pt>
                <c:pt idx="24">
                  <c:v>36.342500000000001</c:v>
                </c:pt>
                <c:pt idx="25">
                  <c:v>34.089100000000002</c:v>
                </c:pt>
                <c:pt idx="26">
                  <c:v>32.228499999999997</c:v>
                </c:pt>
                <c:pt idx="27">
                  <c:v>30.659800000000001</c:v>
                </c:pt>
                <c:pt idx="28">
                  <c:v>29.3307</c:v>
                </c:pt>
                <c:pt idx="29">
                  <c:v>28.198</c:v>
                </c:pt>
                <c:pt idx="30">
                  <c:v>27.207599999999999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2E-437A-8A41-801B4830E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402431"/>
        <c:axId val="1668401471"/>
      </c:scatterChart>
      <c:valAx>
        <c:axId val="1668402431"/>
        <c:scaling>
          <c:orientation val="minMax"/>
          <c:max val="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401471"/>
        <c:crosses val="autoZero"/>
        <c:crossBetween val="midCat"/>
      </c:valAx>
      <c:valAx>
        <c:axId val="1668401471"/>
        <c:scaling>
          <c:orientation val="minMax"/>
          <c:max val="18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i="1"/>
                  <a:t>F</a:t>
                </a:r>
                <a:r>
                  <a:rPr lang="en-MY"/>
                  <a:t>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402431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strRef>
              <c:f>'Combine load'!$C$58</c:f>
              <c:strCache>
                <c:ptCount val="1"/>
                <c:pt idx="0">
                  <c:v>ASME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dash"/>
              <a:miter lim="800000"/>
            </a:ln>
            <a:effectLst/>
          </c:spPr>
          <c:marker>
            <c:symbol val="none"/>
          </c:marker>
          <c:xVal>
            <c:numRef>
              <c:f>'Combine load'!$D$62:$H$62</c:f>
              <c:numCache>
                <c:formatCode>General</c:formatCode>
                <c:ptCount val="5"/>
                <c:pt idx="0">
                  <c:v>0</c:v>
                </c:pt>
                <c:pt idx="1">
                  <c:v>0.19165074045954744</c:v>
                </c:pt>
                <c:pt idx="2">
                  <c:v>0.38330148091909488</c:v>
                </c:pt>
                <c:pt idx="3">
                  <c:v>0.57495222137864233</c:v>
                </c:pt>
                <c:pt idx="4">
                  <c:v>0.76660298292968387</c:v>
                </c:pt>
              </c:numCache>
            </c:numRef>
          </c:xVal>
          <c:yVal>
            <c:numRef>
              <c:f>'Combine load'!$D$61:$H$61</c:f>
              <c:numCache>
                <c:formatCode>General</c:formatCode>
                <c:ptCount val="5"/>
                <c:pt idx="0">
                  <c:v>0.72839772534174407</c:v>
                </c:pt>
                <c:pt idx="1">
                  <c:v>0.73507883682442632</c:v>
                </c:pt>
                <c:pt idx="2">
                  <c:v>0.70804685543440926</c:v>
                </c:pt>
                <c:pt idx="3">
                  <c:v>0.66492994146943474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90-4A99-896C-2E6DBC5FC5EF}"/>
            </c:ext>
          </c:extLst>
        </c:ser>
        <c:ser>
          <c:idx val="2"/>
          <c:order val="2"/>
          <c:tx>
            <c:strRef>
              <c:f>'Combine load'!$D$64</c:f>
              <c:strCache>
                <c:ptCount val="1"/>
                <c:pt idx="0">
                  <c:v>Case 1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load'!$D$68:$H$68</c:f>
              <c:numCache>
                <c:formatCode>General</c:formatCode>
                <c:ptCount val="5"/>
                <c:pt idx="0">
                  <c:v>0</c:v>
                </c:pt>
                <c:pt idx="1">
                  <c:v>0.13457012330811319</c:v>
                </c:pt>
                <c:pt idx="2">
                  <c:v>0.26914024661622638</c:v>
                </c:pt>
                <c:pt idx="3">
                  <c:v>0.40371036992433962</c:v>
                </c:pt>
                <c:pt idx="4">
                  <c:v>0.53828049323245275</c:v>
                </c:pt>
              </c:numCache>
            </c:numRef>
          </c:xVal>
          <c:yVal>
            <c:numRef>
              <c:f>'Combine load'!$D$67:$H$67</c:f>
              <c:numCache>
                <c:formatCode>General</c:formatCode>
                <c:ptCount val="5"/>
                <c:pt idx="0">
                  <c:v>0.64021129869693971</c:v>
                </c:pt>
                <c:pt idx="1">
                  <c:v>0.65986951324360532</c:v>
                </c:pt>
                <c:pt idx="2">
                  <c:v>0.67323059287047626</c:v>
                </c:pt>
                <c:pt idx="3">
                  <c:v>0.49315680356502001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90-4A99-896C-2E6DBC5FC5EF}"/>
            </c:ext>
          </c:extLst>
        </c:ser>
        <c:ser>
          <c:idx val="3"/>
          <c:order val="3"/>
          <c:tx>
            <c:strRef>
              <c:f>'Combine load'!$D$70</c:f>
              <c:strCache>
                <c:ptCount val="1"/>
                <c:pt idx="0">
                  <c:v>Case 2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load'!$D$74:$G$74</c:f>
              <c:numCache>
                <c:formatCode>General</c:formatCode>
                <c:ptCount val="4"/>
                <c:pt idx="0">
                  <c:v>0</c:v>
                </c:pt>
                <c:pt idx="1">
                  <c:v>0.13417458613678213</c:v>
                </c:pt>
                <c:pt idx="2">
                  <c:v>0.26834917227356425</c:v>
                </c:pt>
                <c:pt idx="3">
                  <c:v>0.5366983445471285</c:v>
                </c:pt>
              </c:numCache>
            </c:numRef>
          </c:xVal>
          <c:yVal>
            <c:numRef>
              <c:f>'Combine load'!$D$73:$G$73</c:f>
              <c:numCache>
                <c:formatCode>General</c:formatCode>
                <c:ptCount val="4"/>
                <c:pt idx="0">
                  <c:v>0.63659154340479041</c:v>
                </c:pt>
                <c:pt idx="1">
                  <c:v>0.62226743330433054</c:v>
                </c:pt>
                <c:pt idx="2">
                  <c:v>0.56492968328432114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90-4A99-896C-2E6DBC5FC5EF}"/>
            </c:ext>
          </c:extLst>
        </c:ser>
        <c:ser>
          <c:idx val="4"/>
          <c:order val="4"/>
          <c:tx>
            <c:strRef>
              <c:f>'Combine load'!$D$76</c:f>
              <c:strCache>
                <c:ptCount val="1"/>
                <c:pt idx="0">
                  <c:v>Case 3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load'!$D$80:$H$80</c:f>
              <c:numCache>
                <c:formatCode>General</c:formatCode>
                <c:ptCount val="5"/>
                <c:pt idx="0">
                  <c:v>0</c:v>
                </c:pt>
                <c:pt idx="1">
                  <c:v>0.10356245254862947</c:v>
                </c:pt>
                <c:pt idx="2">
                  <c:v>0.20712490509725895</c:v>
                </c:pt>
                <c:pt idx="3">
                  <c:v>0.3106873576458884</c:v>
                </c:pt>
                <c:pt idx="4">
                  <c:v>0.4142498101945179</c:v>
                </c:pt>
              </c:numCache>
            </c:numRef>
          </c:xVal>
          <c:yVal>
            <c:numRef>
              <c:f>'Combine load'!$D$79:$H$79</c:f>
              <c:numCache>
                <c:formatCode>General</c:formatCode>
                <c:ptCount val="5"/>
                <c:pt idx="0">
                  <c:v>0.64689054758480724</c:v>
                </c:pt>
                <c:pt idx="1">
                  <c:v>0.62734335263697361</c:v>
                </c:pt>
                <c:pt idx="2">
                  <c:v>0.63631528533327819</c:v>
                </c:pt>
                <c:pt idx="3">
                  <c:v>0.48179924041939587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90-4A99-896C-2E6DBC5FC5EF}"/>
            </c:ext>
          </c:extLst>
        </c:ser>
        <c:ser>
          <c:idx val="5"/>
          <c:order val="5"/>
          <c:tx>
            <c:strRef>
              <c:f>'Combine load'!$AI$47</c:f>
              <c:strCache>
                <c:ptCount val="1"/>
                <c:pt idx="0">
                  <c:v>ECCS Linear (m=1,n=1)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load'!$AH$49:$AH$54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'Combine load'!$AI$49:$AI$54</c:f>
              <c:numCache>
                <c:formatCode>General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E1-42CF-B0FA-32B125F1D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08592"/>
        <c:axId val="103632592"/>
      </c:scatterChart>
      <c:scatterChart>
        <c:scatterStyle val="smoothMarker"/>
        <c:varyColors val="0"/>
        <c:ser>
          <c:idx val="0"/>
          <c:order val="0"/>
          <c:tx>
            <c:strRef>
              <c:f>'Combine load'!$C$52</c:f>
              <c:strCache>
                <c:ptCount val="1"/>
                <c:pt idx="0">
                  <c:v>A-2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load'!$D$56:$G$56</c:f>
              <c:numCache>
                <c:formatCode>General</c:formatCode>
                <c:ptCount val="4"/>
                <c:pt idx="0">
                  <c:v>0</c:v>
                </c:pt>
                <c:pt idx="1">
                  <c:v>0.25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'Combine load'!$D$55:$G$55</c:f>
              <c:numCache>
                <c:formatCode>General</c:formatCode>
                <c:ptCount val="4"/>
                <c:pt idx="0">
                  <c:v>1</c:v>
                </c:pt>
                <c:pt idx="1">
                  <c:v>1.0128266364417962</c:v>
                </c:pt>
                <c:pt idx="2">
                  <c:v>0.7022505996349262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90-4A99-896C-2E6DBC5FC5EF}"/>
            </c:ext>
          </c:extLst>
        </c:ser>
        <c:ser>
          <c:idx val="6"/>
          <c:order val="6"/>
          <c:tx>
            <c:strRef>
              <c:f>'Combine load'!$AJ$47</c:f>
              <c:strCache>
                <c:ptCount val="1"/>
                <c:pt idx="0">
                  <c:v>Das Parabolic (m=1,n=2)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load'!$AH$49:$AH$54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'Combine load'!$AJ$49:$AJ$54</c:f>
              <c:numCache>
                <c:formatCode>General</c:formatCode>
                <c:ptCount val="6"/>
                <c:pt idx="0">
                  <c:v>1</c:v>
                </c:pt>
                <c:pt idx="1">
                  <c:v>0.96</c:v>
                </c:pt>
                <c:pt idx="2">
                  <c:v>0.84</c:v>
                </c:pt>
                <c:pt idx="3">
                  <c:v>0.64</c:v>
                </c:pt>
                <c:pt idx="4">
                  <c:v>0.36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E1-42CF-B0FA-32B125F1D23E}"/>
            </c:ext>
          </c:extLst>
        </c:ser>
        <c:ser>
          <c:idx val="7"/>
          <c:order val="7"/>
          <c:tx>
            <c:strRef>
              <c:f>'Combine load'!$AK$47</c:f>
              <c:strCache>
                <c:ptCount val="1"/>
                <c:pt idx="0">
                  <c:v>DNV Quadratic (m=2,n=2)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load'!$AH$49:$AH$54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'Combine load'!$AK$49:$AK$54</c:f>
              <c:numCache>
                <c:formatCode>General</c:formatCode>
                <c:ptCount val="6"/>
                <c:pt idx="0">
                  <c:v>1</c:v>
                </c:pt>
                <c:pt idx="1">
                  <c:v>0.98</c:v>
                </c:pt>
                <c:pt idx="2">
                  <c:v>0.91700000000000004</c:v>
                </c:pt>
                <c:pt idx="3">
                  <c:v>0.8</c:v>
                </c:pt>
                <c:pt idx="4">
                  <c:v>0.6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E1-42CF-B0FA-32B125F1D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08592"/>
        <c:axId val="103632592"/>
      </c:scatterChart>
      <c:valAx>
        <c:axId val="103608592"/>
        <c:scaling>
          <c:orientation val="minMax"/>
          <c:max val="1.0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i="1"/>
                  <a:t>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32592"/>
        <c:crosses val="autoZero"/>
        <c:crossBetween val="midCat"/>
      </c:valAx>
      <c:valAx>
        <c:axId val="1036325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i="1"/>
                  <a:t>Rx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0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'Combine load'!$AH$21</c:f>
              <c:strCache>
                <c:ptCount val="1"/>
                <c:pt idx="0">
                  <c:v>ASME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dash"/>
              <a:miter lim="800000"/>
            </a:ln>
            <a:effectLst/>
          </c:spPr>
          <c:marker>
            <c:symbol val="none"/>
          </c:marker>
          <c:xVal>
            <c:numRef>
              <c:f>'Combine load'!$AI$25:$AM$25</c:f>
              <c:numCache>
                <c:formatCode>General</c:formatCode>
                <c:ptCount val="5"/>
                <c:pt idx="0">
                  <c:v>0</c:v>
                </c:pt>
                <c:pt idx="1">
                  <c:v>0.29020573873443883</c:v>
                </c:pt>
                <c:pt idx="2">
                  <c:v>0.58041147746887767</c:v>
                </c:pt>
                <c:pt idx="3">
                  <c:v>0.87061721620331656</c:v>
                </c:pt>
                <c:pt idx="4">
                  <c:v>1.1608229549377553</c:v>
                </c:pt>
              </c:numCache>
            </c:numRef>
          </c:xVal>
          <c:yVal>
            <c:numRef>
              <c:f>'Combine load'!$AI$24:$AM$24</c:f>
              <c:numCache>
                <c:formatCode>General</c:formatCode>
                <c:ptCount val="5"/>
                <c:pt idx="0">
                  <c:v>0.56637145463338778</c:v>
                </c:pt>
                <c:pt idx="1">
                  <c:v>0.53199187133843262</c:v>
                </c:pt>
                <c:pt idx="2">
                  <c:v>0.49497066109933463</c:v>
                </c:pt>
                <c:pt idx="3">
                  <c:v>0.46272832356388843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55-46B6-A97C-C670D6B7C987}"/>
            </c:ext>
          </c:extLst>
        </c:ser>
        <c:ser>
          <c:idx val="1"/>
          <c:order val="1"/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load'!$AI$19:$AL$19</c:f>
              <c:numCache>
                <c:formatCode>General</c:formatCode>
                <c:ptCount val="4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</c:numCache>
            </c:numRef>
          </c:xVal>
          <c:yVal>
            <c:numRef>
              <c:f>'Combine load'!$AI$18:$AL$18</c:f>
              <c:numCache>
                <c:formatCode>General</c:formatCode>
                <c:ptCount val="4"/>
                <c:pt idx="0">
                  <c:v>1</c:v>
                </c:pt>
                <c:pt idx="1">
                  <c:v>1.0877351699449405</c:v>
                </c:pt>
                <c:pt idx="2">
                  <c:v>1.1140586392731375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55-46B6-A97C-C670D6B7C987}"/>
            </c:ext>
          </c:extLst>
        </c:ser>
        <c:ser>
          <c:idx val="2"/>
          <c:order val="2"/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load'!$AI$31:$AL$31</c:f>
              <c:numCache>
                <c:formatCode>General</c:formatCode>
                <c:ptCount val="4"/>
                <c:pt idx="0">
                  <c:v>0</c:v>
                </c:pt>
                <c:pt idx="1">
                  <c:v>0.24877678475992696</c:v>
                </c:pt>
                <c:pt idx="2">
                  <c:v>0.37316517713989045</c:v>
                </c:pt>
                <c:pt idx="3">
                  <c:v>0.49755356951985391</c:v>
                </c:pt>
              </c:numCache>
            </c:numRef>
          </c:xVal>
          <c:yVal>
            <c:numRef>
              <c:f>'Combine load'!$AI$30:$AL$30</c:f>
              <c:numCache>
                <c:formatCode>General</c:formatCode>
                <c:ptCount val="4"/>
                <c:pt idx="0">
                  <c:v>1.0548454250082686</c:v>
                </c:pt>
                <c:pt idx="1">
                  <c:v>1.0392809198622541</c:v>
                </c:pt>
                <c:pt idx="2">
                  <c:v>0.99723730033658231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55-46B6-A97C-C670D6B7C987}"/>
            </c:ext>
          </c:extLst>
        </c:ser>
        <c:ser>
          <c:idx val="3"/>
          <c:order val="3"/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load'!$AI$37:$AK$37</c:f>
              <c:numCache>
                <c:formatCode>General</c:formatCode>
                <c:ptCount val="3"/>
                <c:pt idx="0">
                  <c:v>0</c:v>
                </c:pt>
                <c:pt idx="1">
                  <c:v>0.26144412474941264</c:v>
                </c:pt>
                <c:pt idx="2">
                  <c:v>0.52288824949882529</c:v>
                </c:pt>
              </c:numCache>
            </c:numRef>
          </c:xVal>
          <c:yVal>
            <c:numRef>
              <c:f>'Combine load'!$AI$36:$AK$36</c:f>
              <c:numCache>
                <c:formatCode>General</c:formatCode>
                <c:ptCount val="3"/>
                <c:pt idx="0">
                  <c:v>1.0540088328566704</c:v>
                </c:pt>
                <c:pt idx="1">
                  <c:v>1.0872682347905602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C55-46B6-A97C-C670D6B7C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615360"/>
        <c:axId val="1696569760"/>
      </c:scatterChart>
      <c:scatterChart>
        <c:scatterStyle val="smoothMarker"/>
        <c:varyColors val="0"/>
        <c:ser>
          <c:idx val="4"/>
          <c:order val="4"/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load'!$AI$43:$AL$43</c:f>
              <c:numCache>
                <c:formatCode>General</c:formatCode>
                <c:ptCount val="4"/>
                <c:pt idx="0">
                  <c:v>0</c:v>
                </c:pt>
                <c:pt idx="1">
                  <c:v>0.11311168942221486</c:v>
                </c:pt>
                <c:pt idx="2">
                  <c:v>0.3393350682666445</c:v>
                </c:pt>
                <c:pt idx="3">
                  <c:v>0.45244675768885945</c:v>
                </c:pt>
              </c:numCache>
            </c:numRef>
          </c:xVal>
          <c:yVal>
            <c:numRef>
              <c:f>'Combine load'!$AI$42:$AL$42</c:f>
              <c:numCache>
                <c:formatCode>General</c:formatCode>
                <c:ptCount val="4"/>
                <c:pt idx="0">
                  <c:v>0.77326115294071862</c:v>
                </c:pt>
                <c:pt idx="1">
                  <c:v>0.64415650109924316</c:v>
                </c:pt>
                <c:pt idx="2">
                  <c:v>0.24875873071460533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C55-46B6-A97C-C670D6B7C987}"/>
            </c:ext>
          </c:extLst>
        </c:ser>
        <c:ser>
          <c:idx val="5"/>
          <c:order val="5"/>
          <c:tx>
            <c:strRef>
              <c:f>'Combine load'!$AI$47</c:f>
              <c:strCache>
                <c:ptCount val="1"/>
                <c:pt idx="0">
                  <c:v>ECCS Linear (m=1,n=1)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load'!$AH$49:$AH$54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'Combine load'!$AI$49:$AI$54</c:f>
              <c:numCache>
                <c:formatCode>General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39-48D7-A9F0-3E2A6FCFA759}"/>
            </c:ext>
          </c:extLst>
        </c:ser>
        <c:ser>
          <c:idx val="6"/>
          <c:order val="6"/>
          <c:tx>
            <c:strRef>
              <c:f>'Combine load'!$AJ$47</c:f>
              <c:strCache>
                <c:ptCount val="1"/>
                <c:pt idx="0">
                  <c:v>Das Parabolic (m=1,n=2)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load'!$AH$49:$AH$54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'Combine load'!$AJ$49:$AJ$54</c:f>
              <c:numCache>
                <c:formatCode>General</c:formatCode>
                <c:ptCount val="6"/>
                <c:pt idx="0">
                  <c:v>1</c:v>
                </c:pt>
                <c:pt idx="1">
                  <c:v>0.96</c:v>
                </c:pt>
                <c:pt idx="2">
                  <c:v>0.84</c:v>
                </c:pt>
                <c:pt idx="3">
                  <c:v>0.64</c:v>
                </c:pt>
                <c:pt idx="4">
                  <c:v>0.36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39-48D7-A9F0-3E2A6FCFA759}"/>
            </c:ext>
          </c:extLst>
        </c:ser>
        <c:ser>
          <c:idx val="7"/>
          <c:order val="7"/>
          <c:tx>
            <c:strRef>
              <c:f>'Combine load'!$AK$47</c:f>
              <c:strCache>
                <c:ptCount val="1"/>
                <c:pt idx="0">
                  <c:v>DNV Quadratic (m=2,n=2)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load'!$AH$49:$AH$54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'Combine load'!$AK$49:$AK$54</c:f>
              <c:numCache>
                <c:formatCode>General</c:formatCode>
                <c:ptCount val="6"/>
                <c:pt idx="0">
                  <c:v>1</c:v>
                </c:pt>
                <c:pt idx="1">
                  <c:v>0.98</c:v>
                </c:pt>
                <c:pt idx="2">
                  <c:v>0.91700000000000004</c:v>
                </c:pt>
                <c:pt idx="3">
                  <c:v>0.8</c:v>
                </c:pt>
                <c:pt idx="4">
                  <c:v>0.6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39-48D7-A9F0-3E2A6FCFA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615360"/>
        <c:axId val="1696569760"/>
      </c:scatterChart>
      <c:valAx>
        <c:axId val="1696615360"/>
        <c:scaling>
          <c:orientation val="minMax"/>
          <c:max val="1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569760"/>
        <c:crosses val="autoZero"/>
        <c:crossBetween val="midCat"/>
      </c:valAx>
      <c:valAx>
        <c:axId val="1696569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61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load'!$AA$19:$AE$19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'Combine load'!$AA$18:$AE$18</c:f>
              <c:numCache>
                <c:formatCode>General</c:formatCode>
                <c:ptCount val="5"/>
                <c:pt idx="0">
                  <c:v>1</c:v>
                </c:pt>
                <c:pt idx="1">
                  <c:v>1.1679701375343525</c:v>
                </c:pt>
                <c:pt idx="2">
                  <c:v>1.1256192784899266</c:v>
                </c:pt>
                <c:pt idx="3">
                  <c:v>0.93431130000186957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4F-42F6-BC3F-A98184C7D07C}"/>
            </c:ext>
          </c:extLst>
        </c:ser>
        <c:ser>
          <c:idx val="1"/>
          <c:order val="1"/>
          <c:spPr>
            <a:ln w="12700" cap="flat" cmpd="sng" algn="ctr">
              <a:solidFill>
                <a:schemeClr val="dk1"/>
              </a:solidFill>
              <a:prstDash val="dash"/>
              <a:miter lim="800000"/>
            </a:ln>
            <a:effectLst/>
          </c:spPr>
          <c:marker>
            <c:symbol val="none"/>
          </c:marker>
          <c:xVal>
            <c:numRef>
              <c:f>'Combine load'!$AA$25:$AE$25</c:f>
              <c:numCache>
                <c:formatCode>General</c:formatCode>
                <c:ptCount val="5"/>
                <c:pt idx="0">
                  <c:v>0</c:v>
                </c:pt>
                <c:pt idx="1">
                  <c:v>0.29020573873443883</c:v>
                </c:pt>
                <c:pt idx="2">
                  <c:v>0.58041147746887767</c:v>
                </c:pt>
                <c:pt idx="3">
                  <c:v>0.87061721620331656</c:v>
                </c:pt>
                <c:pt idx="4">
                  <c:v>1.1608229549377553</c:v>
                </c:pt>
              </c:numCache>
            </c:numRef>
          </c:xVal>
          <c:yVal>
            <c:numRef>
              <c:f>'Combine load'!$AA$24:$AE$24</c:f>
              <c:numCache>
                <c:formatCode>General</c:formatCode>
                <c:ptCount val="5"/>
                <c:pt idx="0">
                  <c:v>0.56637145463338778</c:v>
                </c:pt>
                <c:pt idx="1">
                  <c:v>0.53199187133843262</c:v>
                </c:pt>
                <c:pt idx="2">
                  <c:v>0.49497066109933463</c:v>
                </c:pt>
                <c:pt idx="3">
                  <c:v>0.46272832356388843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4F-42F6-BC3F-A98184C7D07C}"/>
            </c:ext>
          </c:extLst>
        </c:ser>
        <c:ser>
          <c:idx val="2"/>
          <c:order val="2"/>
          <c:tx>
            <c:strRef>
              <c:f>'Combine load'!$AA$27</c:f>
              <c:strCache>
                <c:ptCount val="1"/>
                <c:pt idx="0">
                  <c:v>Case 1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load'!$AA$31:$AE$31</c:f>
              <c:numCache>
                <c:formatCode>General</c:formatCode>
                <c:ptCount val="5"/>
                <c:pt idx="0">
                  <c:v>0</c:v>
                </c:pt>
                <c:pt idx="1">
                  <c:v>6.3694461536587005E-2</c:v>
                </c:pt>
                <c:pt idx="2">
                  <c:v>0.12738892307317401</c:v>
                </c:pt>
                <c:pt idx="3">
                  <c:v>0.19108338460976096</c:v>
                </c:pt>
                <c:pt idx="4">
                  <c:v>0.25476505242380115</c:v>
                </c:pt>
              </c:numCache>
            </c:numRef>
          </c:xVal>
          <c:yVal>
            <c:numRef>
              <c:f>'Combine load'!$AA$30:$AE$30</c:f>
              <c:numCache>
                <c:formatCode>General</c:formatCode>
                <c:ptCount val="5"/>
                <c:pt idx="0">
                  <c:v>1.0024116807607699</c:v>
                </c:pt>
                <c:pt idx="1">
                  <c:v>0.92797985903819435</c:v>
                </c:pt>
                <c:pt idx="2">
                  <c:v>0.76127476334993061</c:v>
                </c:pt>
                <c:pt idx="3">
                  <c:v>0.464881067371268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4F-42F6-BC3F-A98184C7D07C}"/>
            </c:ext>
          </c:extLst>
        </c:ser>
        <c:ser>
          <c:idx val="3"/>
          <c:order val="3"/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load'!$AA$37:$AD$37</c:f>
              <c:numCache>
                <c:formatCode>General</c:formatCode>
                <c:ptCount val="4"/>
                <c:pt idx="0">
                  <c:v>0</c:v>
                </c:pt>
                <c:pt idx="1">
                  <c:v>0.12732800058485588</c:v>
                </c:pt>
                <c:pt idx="2">
                  <c:v>0.19099200087728382</c:v>
                </c:pt>
                <c:pt idx="3">
                  <c:v>0.25467580097841513</c:v>
                </c:pt>
              </c:numCache>
            </c:numRef>
          </c:xVal>
          <c:yVal>
            <c:numRef>
              <c:f>'Combine load'!$AA$36:$AD$36</c:f>
              <c:numCache>
                <c:formatCode>General</c:formatCode>
                <c:ptCount val="4"/>
                <c:pt idx="0">
                  <c:v>1.0022184970305792</c:v>
                </c:pt>
                <c:pt idx="1">
                  <c:v>0.75957973191083639</c:v>
                </c:pt>
                <c:pt idx="2">
                  <c:v>0.46441368737887073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4F-42F6-BC3F-A98184C7D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214720"/>
        <c:axId val="1602216160"/>
      </c:scatterChart>
      <c:scatterChart>
        <c:scatterStyle val="smoothMarker"/>
        <c:varyColors val="0"/>
        <c:ser>
          <c:idx val="4"/>
          <c:order val="4"/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'Combine load'!$AA$43:$AD$43</c:f>
              <c:numCache>
                <c:formatCode>General</c:formatCode>
                <c:ptCount val="4"/>
                <c:pt idx="0">
                  <c:v>0</c:v>
                </c:pt>
                <c:pt idx="1">
                  <c:v>0.11457966529184917</c:v>
                </c:pt>
                <c:pt idx="2">
                  <c:v>0.1718684317942282</c:v>
                </c:pt>
                <c:pt idx="3">
                  <c:v>0.22915933058369833</c:v>
                </c:pt>
              </c:numCache>
            </c:numRef>
          </c:xVal>
          <c:yVal>
            <c:numRef>
              <c:f>'Combine load'!$AA$42:$AD$42</c:f>
              <c:numCache>
                <c:formatCode>General</c:formatCode>
                <c:ptCount val="4"/>
                <c:pt idx="0">
                  <c:v>0.81314771077279735</c:v>
                </c:pt>
                <c:pt idx="1">
                  <c:v>0.55423789018439706</c:v>
                </c:pt>
                <c:pt idx="2">
                  <c:v>0.32663006562015096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4F-42F6-BC3F-A98184C7D07C}"/>
            </c:ext>
          </c:extLst>
        </c:ser>
        <c:ser>
          <c:idx val="5"/>
          <c:order val="5"/>
          <c:tx>
            <c:strRef>
              <c:f>'Combine load'!$AI$47</c:f>
              <c:strCache>
                <c:ptCount val="1"/>
                <c:pt idx="0">
                  <c:v>ECCS Linear (m=1,n=1)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load'!$AH$49:$AH$54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'Combine load'!$AI$49:$AI$54</c:f>
              <c:numCache>
                <c:formatCode>General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B9-4FE4-B703-ACCC6F9E43C8}"/>
            </c:ext>
          </c:extLst>
        </c:ser>
        <c:ser>
          <c:idx val="6"/>
          <c:order val="6"/>
          <c:tx>
            <c:strRef>
              <c:f>'Combine load'!$AJ$47</c:f>
              <c:strCache>
                <c:ptCount val="1"/>
                <c:pt idx="0">
                  <c:v>Das Parabolic (m=1,n=2)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load'!$AJ$49:$AJ$54</c:f>
              <c:numCache>
                <c:formatCode>General</c:formatCode>
                <c:ptCount val="6"/>
                <c:pt idx="0">
                  <c:v>1</c:v>
                </c:pt>
                <c:pt idx="1">
                  <c:v>0.96</c:v>
                </c:pt>
                <c:pt idx="2">
                  <c:v>0.84</c:v>
                </c:pt>
                <c:pt idx="3">
                  <c:v>0.64</c:v>
                </c:pt>
                <c:pt idx="4">
                  <c:v>0.36</c:v>
                </c:pt>
                <c:pt idx="5">
                  <c:v>0</c:v>
                </c:pt>
              </c:numCache>
            </c:numRef>
          </c:xVal>
          <c:yVal>
            <c:numRef>
              <c:f>'Combine load'!$AH$49:$AH$54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B9-4FE4-B703-ACCC6F9E43C8}"/>
            </c:ext>
          </c:extLst>
        </c:ser>
        <c:ser>
          <c:idx val="7"/>
          <c:order val="7"/>
          <c:tx>
            <c:strRef>
              <c:f>'Combine load'!$AK$47</c:f>
              <c:strCache>
                <c:ptCount val="1"/>
                <c:pt idx="0">
                  <c:v>DNV Quadratic (m=2,n=2)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'Combine load'!$AK$49:$AK$54</c:f>
              <c:numCache>
                <c:formatCode>General</c:formatCode>
                <c:ptCount val="6"/>
                <c:pt idx="0">
                  <c:v>1</c:v>
                </c:pt>
                <c:pt idx="1">
                  <c:v>0.98</c:v>
                </c:pt>
                <c:pt idx="2">
                  <c:v>0.91700000000000004</c:v>
                </c:pt>
                <c:pt idx="3">
                  <c:v>0.8</c:v>
                </c:pt>
                <c:pt idx="4">
                  <c:v>0.6</c:v>
                </c:pt>
                <c:pt idx="5">
                  <c:v>0</c:v>
                </c:pt>
              </c:numCache>
            </c:numRef>
          </c:xVal>
          <c:yVal>
            <c:numRef>
              <c:f>'Combine load'!$AH$49:$AH$54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B9-4FE4-B703-ACCC6F9E4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214720"/>
        <c:axId val="1602216160"/>
      </c:scatterChart>
      <c:valAx>
        <c:axId val="1602214720"/>
        <c:scaling>
          <c:orientation val="minMax"/>
          <c:max val="1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16160"/>
        <c:crosses val="autoZero"/>
        <c:crossBetween val="midCat"/>
      </c:valAx>
      <c:valAx>
        <c:axId val="1602216160"/>
        <c:scaling>
          <c:orientation val="minMax"/>
          <c:max val="1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1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1231064869872"/>
          <c:y val="4.8326642439924655E-2"/>
          <c:w val="0.82892400865854776"/>
          <c:h val="0.809314899792268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'Load-displacement'!$D$2:$E$2</c:f>
              <c:strCache>
                <c:ptCount val="1"/>
                <c:pt idx="0">
                  <c:v>Experiment (Ifayefunmi, 2016)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</c:marker>
          <c:xVal>
            <c:numRef>
              <c:f>'Load-displacement'!$E$4:$E$22</c:f>
              <c:numCache>
                <c:formatCode>General</c:formatCode>
                <c:ptCount val="19"/>
                <c:pt idx="0">
                  <c:v>0</c:v>
                </c:pt>
                <c:pt idx="1">
                  <c:v>2.5000000000000001E-2</c:v>
                </c:pt>
                <c:pt idx="2">
                  <c:v>0.115</c:v>
                </c:pt>
                <c:pt idx="3">
                  <c:v>0.185</c:v>
                </c:pt>
                <c:pt idx="4">
                  <c:v>0.215</c:v>
                </c:pt>
                <c:pt idx="5">
                  <c:v>0.22500000000000001</c:v>
                </c:pt>
                <c:pt idx="6">
                  <c:v>0.245</c:v>
                </c:pt>
                <c:pt idx="7">
                  <c:v>0.27</c:v>
                </c:pt>
                <c:pt idx="8">
                  <c:v>0.29499999999999998</c:v>
                </c:pt>
                <c:pt idx="9">
                  <c:v>0.33500000000000002</c:v>
                </c:pt>
                <c:pt idx="10">
                  <c:v>0.38500000000000001</c:v>
                </c:pt>
                <c:pt idx="11">
                  <c:v>0.40500000000000003</c:v>
                </c:pt>
                <c:pt idx="12">
                  <c:v>0.46500000000000002</c:v>
                </c:pt>
                <c:pt idx="13">
                  <c:v>0.495</c:v>
                </c:pt>
                <c:pt idx="14">
                  <c:v>0.51500000000000001</c:v>
                </c:pt>
                <c:pt idx="15">
                  <c:v>0.56499999999999995</c:v>
                </c:pt>
                <c:pt idx="16">
                  <c:v>0.66500000000000004</c:v>
                </c:pt>
                <c:pt idx="17">
                  <c:v>0.92500000000000004</c:v>
                </c:pt>
                <c:pt idx="18">
                  <c:v>1.115</c:v>
                </c:pt>
              </c:numCache>
            </c:numRef>
          </c:xVal>
          <c:yVal>
            <c:numRef>
              <c:f>'Load-displacement'!$D$4:$D$22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17.5</c:v>
                </c:pt>
                <c:pt idx="4">
                  <c:v>19</c:v>
                </c:pt>
                <c:pt idx="5">
                  <c:v>21</c:v>
                </c:pt>
                <c:pt idx="6">
                  <c:v>23</c:v>
                </c:pt>
                <c:pt idx="7">
                  <c:v>25</c:v>
                </c:pt>
                <c:pt idx="8">
                  <c:v>27</c:v>
                </c:pt>
                <c:pt idx="9">
                  <c:v>29</c:v>
                </c:pt>
                <c:pt idx="10">
                  <c:v>30.13</c:v>
                </c:pt>
                <c:pt idx="11">
                  <c:v>30</c:v>
                </c:pt>
                <c:pt idx="12">
                  <c:v>29</c:v>
                </c:pt>
                <c:pt idx="13">
                  <c:v>28</c:v>
                </c:pt>
                <c:pt idx="14">
                  <c:v>26</c:v>
                </c:pt>
                <c:pt idx="15">
                  <c:v>23</c:v>
                </c:pt>
                <c:pt idx="16">
                  <c:v>19</c:v>
                </c:pt>
                <c:pt idx="17">
                  <c:v>14</c:v>
                </c:pt>
                <c:pt idx="18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7B-42D5-AE69-AD6D51F4083F}"/>
            </c:ext>
          </c:extLst>
        </c:ser>
        <c:ser>
          <c:idx val="1"/>
          <c:order val="1"/>
          <c:tx>
            <c:strRef>
              <c:f>'Load-displacement'!$B$2:$C$2</c:f>
              <c:strCache>
                <c:ptCount val="1"/>
                <c:pt idx="0">
                  <c:v>FE (Ifayefunmi, 2016)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dash"/>
              <a:miter lim="800000"/>
            </a:ln>
            <a:effectLst/>
          </c:spPr>
          <c:marker>
            <c:symbol val="none"/>
          </c:marker>
          <c:xVal>
            <c:numRef>
              <c:f>'Load-displacement'!$C$4:$C$22</c:f>
              <c:numCache>
                <c:formatCode>General</c:formatCode>
                <c:ptCount val="19"/>
                <c:pt idx="0">
                  <c:v>0</c:v>
                </c:pt>
                <c:pt idx="1">
                  <c:v>1.7999999999999999E-2</c:v>
                </c:pt>
                <c:pt idx="2">
                  <c:v>3.5999999999999997E-2</c:v>
                </c:pt>
                <c:pt idx="3">
                  <c:v>6.2E-2</c:v>
                </c:pt>
                <c:pt idx="4">
                  <c:v>0.104</c:v>
                </c:pt>
                <c:pt idx="5">
                  <c:v>0.106</c:v>
                </c:pt>
                <c:pt idx="6">
                  <c:v>0.109</c:v>
                </c:pt>
                <c:pt idx="7">
                  <c:v>0.114</c:v>
                </c:pt>
                <c:pt idx="8">
                  <c:v>0.121</c:v>
                </c:pt>
                <c:pt idx="9">
                  <c:v>0.13</c:v>
                </c:pt>
                <c:pt idx="10">
                  <c:v>0.14399999999999999</c:v>
                </c:pt>
                <c:pt idx="11">
                  <c:v>0.16500000000000001</c:v>
                </c:pt>
                <c:pt idx="12">
                  <c:v>0.19700000000000001</c:v>
                </c:pt>
                <c:pt idx="13">
                  <c:v>0.24399999999999999</c:v>
                </c:pt>
                <c:pt idx="14">
                  <c:v>0.314</c:v>
                </c:pt>
                <c:pt idx="15">
                  <c:v>0.41799999999999998</c:v>
                </c:pt>
                <c:pt idx="16">
                  <c:v>0.57499999999999996</c:v>
                </c:pt>
                <c:pt idx="17">
                  <c:v>0.81399999999999995</c:v>
                </c:pt>
                <c:pt idx="18">
                  <c:v>1.1839999999999999</c:v>
                </c:pt>
              </c:numCache>
            </c:numRef>
          </c:xVal>
          <c:yVal>
            <c:numRef>
              <c:f>'Load-displacement'!$B$4:$B$22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17.5</c:v>
                </c:pt>
                <c:pt idx="4">
                  <c:v>28.74</c:v>
                </c:pt>
                <c:pt idx="5">
                  <c:v>29.33</c:v>
                </c:pt>
                <c:pt idx="6">
                  <c:v>30.15</c:v>
                </c:pt>
                <c:pt idx="7">
                  <c:v>31.17</c:v>
                </c:pt>
                <c:pt idx="8">
                  <c:v>31.93</c:v>
                </c:pt>
                <c:pt idx="9">
                  <c:v>32.1</c:v>
                </c:pt>
                <c:pt idx="10">
                  <c:v>32.119999999999997</c:v>
                </c:pt>
                <c:pt idx="11">
                  <c:v>32.07</c:v>
                </c:pt>
                <c:pt idx="12">
                  <c:v>31.82</c:v>
                </c:pt>
                <c:pt idx="13">
                  <c:v>31.31</c:v>
                </c:pt>
                <c:pt idx="14">
                  <c:v>30.4</c:v>
                </c:pt>
                <c:pt idx="15">
                  <c:v>29.11</c:v>
                </c:pt>
                <c:pt idx="16">
                  <c:v>27.15</c:v>
                </c:pt>
                <c:pt idx="17">
                  <c:v>24.51</c:v>
                </c:pt>
                <c:pt idx="18">
                  <c:v>21.3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7B-42D5-AE69-AD6D51F4083F}"/>
            </c:ext>
          </c:extLst>
        </c:ser>
        <c:ser>
          <c:idx val="2"/>
          <c:order val="2"/>
          <c:tx>
            <c:strRef>
              <c:f>'Load-displacement'!$G$2</c:f>
              <c:strCache>
                <c:ptCount val="1"/>
                <c:pt idx="0">
                  <c:v>Current FE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'Load-displacement'!$H$4:$H$34</c:f>
              <c:numCache>
                <c:formatCode>General</c:formatCode>
                <c:ptCount val="31"/>
                <c:pt idx="0">
                  <c:v>0</c:v>
                </c:pt>
                <c:pt idx="1">
                  <c:v>9.9998499999999994E-3</c:v>
                </c:pt>
                <c:pt idx="2">
                  <c:v>1.9999400000000001E-2</c:v>
                </c:pt>
                <c:pt idx="3">
                  <c:v>3.49982E-2</c:v>
                </c:pt>
                <c:pt idx="4">
                  <c:v>5.74951E-2</c:v>
                </c:pt>
                <c:pt idx="5">
                  <c:v>9.1237399999999996E-2</c:v>
                </c:pt>
                <c:pt idx="6">
                  <c:v>0.110235</c:v>
                </c:pt>
                <c:pt idx="7">
                  <c:v>0.111248</c:v>
                </c:pt>
                <c:pt idx="8">
                  <c:v>0.11275300000000001</c:v>
                </c:pt>
                <c:pt idx="9">
                  <c:v>0.114985</c:v>
                </c:pt>
                <c:pt idx="10">
                  <c:v>0.11819200000000001</c:v>
                </c:pt>
                <c:pt idx="11">
                  <c:v>0.122513</c:v>
                </c:pt>
                <c:pt idx="12">
                  <c:v>0.12867300000000001</c:v>
                </c:pt>
                <c:pt idx="13">
                  <c:v>0.13772100000000001</c:v>
                </c:pt>
                <c:pt idx="14">
                  <c:v>0.15109700000000001</c:v>
                </c:pt>
                <c:pt idx="15">
                  <c:v>0.17126</c:v>
                </c:pt>
                <c:pt idx="16">
                  <c:v>0.20152800000000001</c:v>
                </c:pt>
                <c:pt idx="17">
                  <c:v>0.24769099999999999</c:v>
                </c:pt>
                <c:pt idx="18">
                  <c:v>0.31896000000000002</c:v>
                </c:pt>
                <c:pt idx="19">
                  <c:v>0.43092599999999998</c:v>
                </c:pt>
                <c:pt idx="20">
                  <c:v>0.61044100000000001</c:v>
                </c:pt>
                <c:pt idx="21">
                  <c:v>0.89702499999999996</c:v>
                </c:pt>
                <c:pt idx="22">
                  <c:v>1.0636399999999999</c:v>
                </c:pt>
                <c:pt idx="23">
                  <c:v>1.3186199999999999</c:v>
                </c:pt>
                <c:pt idx="24">
                  <c:v>1.70889</c:v>
                </c:pt>
                <c:pt idx="25">
                  <c:v>2.105</c:v>
                </c:pt>
                <c:pt idx="26">
                  <c:v>2.5047999999999999</c:v>
                </c:pt>
                <c:pt idx="27">
                  <c:v>2.90733</c:v>
                </c:pt>
                <c:pt idx="28">
                  <c:v>3.3117999999999999</c:v>
                </c:pt>
                <c:pt idx="29">
                  <c:v>3.7178300000000002</c:v>
                </c:pt>
                <c:pt idx="30">
                  <c:v>4.1250900000000001</c:v>
                </c:pt>
              </c:numCache>
            </c:numRef>
          </c:xVal>
          <c:yVal>
            <c:numRef>
              <c:f>'Load-displacement'!$G$4:$G$34</c:f>
              <c:numCache>
                <c:formatCode>General</c:formatCode>
                <c:ptCount val="31"/>
                <c:pt idx="0">
                  <c:v>0</c:v>
                </c:pt>
                <c:pt idx="1">
                  <c:v>2.7686599999999997</c:v>
                </c:pt>
                <c:pt idx="2">
                  <c:v>5.5374499999999998</c:v>
                </c:pt>
                <c:pt idx="3">
                  <c:v>9.6908500000000011</c:v>
                </c:pt>
                <c:pt idx="4">
                  <c:v>15.9214</c:v>
                </c:pt>
                <c:pt idx="5">
                  <c:v>25.267900000000001</c:v>
                </c:pt>
                <c:pt idx="6">
                  <c:v>30.493500000000001</c:v>
                </c:pt>
                <c:pt idx="7">
                  <c:v>30.748200000000001</c:v>
                </c:pt>
                <c:pt idx="8">
                  <c:v>31.103900000000003</c:v>
                </c:pt>
                <c:pt idx="9">
                  <c:v>31.587400000000002</c:v>
                </c:pt>
                <c:pt idx="10">
                  <c:v>32.010599999999997</c:v>
                </c:pt>
                <c:pt idx="11">
                  <c:v>32.1999</c:v>
                </c:pt>
                <c:pt idx="12">
                  <c:v>32.184100000000001</c:v>
                </c:pt>
                <c:pt idx="13">
                  <c:v>31.993099999999998</c:v>
                </c:pt>
                <c:pt idx="14">
                  <c:v>31.611999999999998</c:v>
                </c:pt>
                <c:pt idx="15">
                  <c:v>30.919</c:v>
                </c:pt>
                <c:pt idx="16">
                  <c:v>29.788599999999999</c:v>
                </c:pt>
                <c:pt idx="17">
                  <c:v>28.0351</c:v>
                </c:pt>
                <c:pt idx="18">
                  <c:v>25.418500000000002</c:v>
                </c:pt>
                <c:pt idx="19">
                  <c:v>21.979500000000002</c:v>
                </c:pt>
                <c:pt idx="20">
                  <c:v>18.366199999999999</c:v>
                </c:pt>
                <c:pt idx="21">
                  <c:v>14.9937</c:v>
                </c:pt>
                <c:pt idx="22">
                  <c:v>13.712299999999999</c:v>
                </c:pt>
                <c:pt idx="23">
                  <c:v>12.2461</c:v>
                </c:pt>
                <c:pt idx="24">
                  <c:v>10.684100000000001</c:v>
                </c:pt>
                <c:pt idx="25">
                  <c:v>9.5812000000000008</c:v>
                </c:pt>
                <c:pt idx="26">
                  <c:v>8.7537199999999995</c:v>
                </c:pt>
                <c:pt idx="27">
                  <c:v>8.104470000000001</c:v>
                </c:pt>
                <c:pt idx="28">
                  <c:v>7.5777099999999997</c:v>
                </c:pt>
                <c:pt idx="29">
                  <c:v>7.1388199999999999</c:v>
                </c:pt>
                <c:pt idx="30">
                  <c:v>6.7653999999999996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7B-42D5-AE69-AD6D51F40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229888"/>
        <c:axId val="917239968"/>
      </c:scatterChart>
      <c:valAx>
        <c:axId val="917229888"/>
        <c:scaling>
          <c:orientation val="minMax"/>
          <c:max val="1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239968"/>
        <c:crosses val="autoZero"/>
        <c:crossBetween val="midCat"/>
      </c:valAx>
      <c:valAx>
        <c:axId val="917239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F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229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0505517407452072"/>
          <c:y val="2.716600737872071E-2"/>
          <c:w val="0.46729355934506123"/>
          <c:h val="0.154868035748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261592300962376E-2"/>
          <c:y val="5.0925925925925923E-2"/>
          <c:w val="0.86384951881014871"/>
          <c:h val="0.7712809857101196"/>
        </c:manualLayout>
      </c:layout>
      <c:scatterChart>
        <c:scatterStyle val="smoothMarker"/>
        <c:varyColors val="0"/>
        <c:ser>
          <c:idx val="0"/>
          <c:order val="0"/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'Load-displacement'!$H$4:$H$34</c:f>
              <c:numCache>
                <c:formatCode>General</c:formatCode>
                <c:ptCount val="31"/>
                <c:pt idx="0">
                  <c:v>0</c:v>
                </c:pt>
                <c:pt idx="1">
                  <c:v>9.9998499999999994E-3</c:v>
                </c:pt>
                <c:pt idx="2">
                  <c:v>1.9999400000000001E-2</c:v>
                </c:pt>
                <c:pt idx="3">
                  <c:v>3.49982E-2</c:v>
                </c:pt>
                <c:pt idx="4">
                  <c:v>5.74951E-2</c:v>
                </c:pt>
                <c:pt idx="5">
                  <c:v>9.1237399999999996E-2</c:v>
                </c:pt>
                <c:pt idx="6">
                  <c:v>0.110235</c:v>
                </c:pt>
                <c:pt idx="7">
                  <c:v>0.111248</c:v>
                </c:pt>
                <c:pt idx="8">
                  <c:v>0.11275300000000001</c:v>
                </c:pt>
                <c:pt idx="9">
                  <c:v>0.114985</c:v>
                </c:pt>
                <c:pt idx="10">
                  <c:v>0.11819200000000001</c:v>
                </c:pt>
                <c:pt idx="11">
                  <c:v>0.122513</c:v>
                </c:pt>
                <c:pt idx="12">
                  <c:v>0.12867300000000001</c:v>
                </c:pt>
                <c:pt idx="13">
                  <c:v>0.13772100000000001</c:v>
                </c:pt>
                <c:pt idx="14">
                  <c:v>0.15109700000000001</c:v>
                </c:pt>
                <c:pt idx="15">
                  <c:v>0.17126</c:v>
                </c:pt>
                <c:pt idx="16">
                  <c:v>0.20152800000000001</c:v>
                </c:pt>
                <c:pt idx="17">
                  <c:v>0.24769099999999999</c:v>
                </c:pt>
                <c:pt idx="18">
                  <c:v>0.31896000000000002</c:v>
                </c:pt>
                <c:pt idx="19">
                  <c:v>0.43092599999999998</c:v>
                </c:pt>
                <c:pt idx="20">
                  <c:v>0.61044100000000001</c:v>
                </c:pt>
                <c:pt idx="21">
                  <c:v>0.89702499999999996</c:v>
                </c:pt>
                <c:pt idx="22">
                  <c:v>1.0636399999999999</c:v>
                </c:pt>
                <c:pt idx="23">
                  <c:v>1.3186199999999999</c:v>
                </c:pt>
                <c:pt idx="24">
                  <c:v>1.70889</c:v>
                </c:pt>
                <c:pt idx="25">
                  <c:v>2.105</c:v>
                </c:pt>
                <c:pt idx="26">
                  <c:v>2.5047999999999999</c:v>
                </c:pt>
                <c:pt idx="27">
                  <c:v>2.90733</c:v>
                </c:pt>
                <c:pt idx="28">
                  <c:v>3.3117999999999999</c:v>
                </c:pt>
                <c:pt idx="29">
                  <c:v>3.7178300000000002</c:v>
                </c:pt>
                <c:pt idx="30">
                  <c:v>4.1250900000000001</c:v>
                </c:pt>
              </c:numCache>
            </c:numRef>
          </c:xVal>
          <c:yVal>
            <c:numRef>
              <c:f>'Load-displacement'!$G$4:$G$34</c:f>
              <c:numCache>
                <c:formatCode>General</c:formatCode>
                <c:ptCount val="31"/>
                <c:pt idx="0">
                  <c:v>0</c:v>
                </c:pt>
                <c:pt idx="1">
                  <c:v>2.7686599999999997</c:v>
                </c:pt>
                <c:pt idx="2">
                  <c:v>5.5374499999999998</c:v>
                </c:pt>
                <c:pt idx="3">
                  <c:v>9.6908500000000011</c:v>
                </c:pt>
                <c:pt idx="4">
                  <c:v>15.9214</c:v>
                </c:pt>
                <c:pt idx="5">
                  <c:v>25.267900000000001</c:v>
                </c:pt>
                <c:pt idx="6">
                  <c:v>30.493500000000001</c:v>
                </c:pt>
                <c:pt idx="7">
                  <c:v>30.748200000000001</c:v>
                </c:pt>
                <c:pt idx="8">
                  <c:v>31.103900000000003</c:v>
                </c:pt>
                <c:pt idx="9">
                  <c:v>31.587400000000002</c:v>
                </c:pt>
                <c:pt idx="10">
                  <c:v>32.010599999999997</c:v>
                </c:pt>
                <c:pt idx="11">
                  <c:v>32.1999</c:v>
                </c:pt>
                <c:pt idx="12">
                  <c:v>32.184100000000001</c:v>
                </c:pt>
                <c:pt idx="13">
                  <c:v>31.993099999999998</c:v>
                </c:pt>
                <c:pt idx="14">
                  <c:v>31.611999999999998</c:v>
                </c:pt>
                <c:pt idx="15">
                  <c:v>30.919</c:v>
                </c:pt>
                <c:pt idx="16">
                  <c:v>29.788599999999999</c:v>
                </c:pt>
                <c:pt idx="17">
                  <c:v>28.0351</c:v>
                </c:pt>
                <c:pt idx="18">
                  <c:v>25.418500000000002</c:v>
                </c:pt>
                <c:pt idx="19">
                  <c:v>21.979500000000002</c:v>
                </c:pt>
                <c:pt idx="20">
                  <c:v>18.366199999999999</c:v>
                </c:pt>
                <c:pt idx="21">
                  <c:v>14.9937</c:v>
                </c:pt>
                <c:pt idx="22">
                  <c:v>13.712299999999999</c:v>
                </c:pt>
                <c:pt idx="23">
                  <c:v>12.2461</c:v>
                </c:pt>
                <c:pt idx="24">
                  <c:v>10.684100000000001</c:v>
                </c:pt>
                <c:pt idx="25">
                  <c:v>9.5812000000000008</c:v>
                </c:pt>
                <c:pt idx="26">
                  <c:v>8.7537199999999995</c:v>
                </c:pt>
                <c:pt idx="27">
                  <c:v>8.104470000000001</c:v>
                </c:pt>
                <c:pt idx="28">
                  <c:v>7.5777099999999997</c:v>
                </c:pt>
                <c:pt idx="29">
                  <c:v>7.1388199999999999</c:v>
                </c:pt>
                <c:pt idx="30">
                  <c:v>6.7653999999999996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6B-4876-B9B8-62E734235538}"/>
            </c:ext>
          </c:extLst>
        </c:ser>
        <c:ser>
          <c:idx val="1"/>
          <c:order val="1"/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'Load-displacement'!$N$4:$N$34</c:f>
              <c:numCache>
                <c:formatCode>General</c:formatCode>
                <c:ptCount val="31"/>
                <c:pt idx="0">
                  <c:v>0</c:v>
                </c:pt>
                <c:pt idx="1">
                  <c:v>9.9998699999999992E-3</c:v>
                </c:pt>
                <c:pt idx="2">
                  <c:v>1.99995E-2</c:v>
                </c:pt>
                <c:pt idx="3">
                  <c:v>3.4998399999999999E-2</c:v>
                </c:pt>
                <c:pt idx="4">
                  <c:v>5.7495600000000001E-2</c:v>
                </c:pt>
                <c:pt idx="5">
                  <c:v>9.1238799999999995E-2</c:v>
                </c:pt>
                <c:pt idx="6">
                  <c:v>0.138076</c:v>
                </c:pt>
                <c:pt idx="7">
                  <c:v>0.202732</c:v>
                </c:pt>
                <c:pt idx="8">
                  <c:v>0.24298900000000001</c:v>
                </c:pt>
                <c:pt idx="9">
                  <c:v>0.28303899999999999</c:v>
                </c:pt>
                <c:pt idx="10">
                  <c:v>0.34293899999999999</c:v>
                </c:pt>
                <c:pt idx="11">
                  <c:v>0.43284299999999998</c:v>
                </c:pt>
                <c:pt idx="12">
                  <c:v>0.568357</c:v>
                </c:pt>
                <c:pt idx="13">
                  <c:v>0.77336000000000005</c:v>
                </c:pt>
                <c:pt idx="14">
                  <c:v>0.82538999999999996</c:v>
                </c:pt>
                <c:pt idx="15">
                  <c:v>0.877718</c:v>
                </c:pt>
                <c:pt idx="16">
                  <c:v>0.93033200000000005</c:v>
                </c:pt>
                <c:pt idx="17">
                  <c:v>1.0097</c:v>
                </c:pt>
                <c:pt idx="18">
                  <c:v>1.12967</c:v>
                </c:pt>
                <c:pt idx="19">
                  <c:v>1.3114300000000001</c:v>
                </c:pt>
                <c:pt idx="20">
                  <c:v>1.5875699999999999</c:v>
                </c:pt>
                <c:pt idx="21">
                  <c:v>2.0082100000000001</c:v>
                </c:pt>
                <c:pt idx="22">
                  <c:v>2.6495700000000002</c:v>
                </c:pt>
                <c:pt idx="23">
                  <c:v>3.2995999999999999</c:v>
                </c:pt>
                <c:pt idx="24">
                  <c:v>3.9556</c:v>
                </c:pt>
                <c:pt idx="25">
                  <c:v>4.6159699999999999</c:v>
                </c:pt>
                <c:pt idx="26">
                  <c:v>5.6126699999999996</c:v>
                </c:pt>
                <c:pt idx="27">
                  <c:v>6.6146399999999996</c:v>
                </c:pt>
                <c:pt idx="28">
                  <c:v>7.6204999999999998</c:v>
                </c:pt>
                <c:pt idx="29">
                  <c:v>8.6293600000000001</c:v>
                </c:pt>
                <c:pt idx="30">
                  <c:v>9.6405999999999992</c:v>
                </c:pt>
              </c:numCache>
            </c:numRef>
          </c:xVal>
          <c:yVal>
            <c:numRef>
              <c:f>'Load-displacement'!$M$4:$M$34</c:f>
              <c:numCache>
                <c:formatCode>General</c:formatCode>
                <c:ptCount val="31"/>
                <c:pt idx="0">
                  <c:v>0</c:v>
                </c:pt>
                <c:pt idx="1">
                  <c:v>6.6975100000000003</c:v>
                </c:pt>
                <c:pt idx="2">
                  <c:v>13.395799999999999</c:v>
                </c:pt>
                <c:pt idx="3">
                  <c:v>23.444500000000001</c:v>
                </c:pt>
                <c:pt idx="4">
                  <c:v>38.520699999999998</c:v>
                </c:pt>
                <c:pt idx="5">
                  <c:v>61.141800000000003</c:v>
                </c:pt>
                <c:pt idx="6">
                  <c:v>88.202399999999997</c:v>
                </c:pt>
                <c:pt idx="7">
                  <c:v>88.249300000000005</c:v>
                </c:pt>
                <c:pt idx="8">
                  <c:v>87.587299999999999</c:v>
                </c:pt>
                <c:pt idx="9">
                  <c:v>86.755099999999999</c:v>
                </c:pt>
                <c:pt idx="10">
                  <c:v>85.260899999999992</c:v>
                </c:pt>
                <c:pt idx="11">
                  <c:v>82.679600000000008</c:v>
                </c:pt>
                <c:pt idx="12">
                  <c:v>78.4636</c:v>
                </c:pt>
                <c:pt idx="13">
                  <c:v>71.645699999999991</c:v>
                </c:pt>
                <c:pt idx="14">
                  <c:v>70.007100000000008</c:v>
                </c:pt>
                <c:pt idx="15">
                  <c:v>68.390699999999995</c:v>
                </c:pt>
                <c:pt idx="16">
                  <c:v>66.825600000000009</c:v>
                </c:pt>
                <c:pt idx="17">
                  <c:v>64.603400000000008</c:v>
                </c:pt>
                <c:pt idx="18">
                  <c:v>61.550699999999999</c:v>
                </c:pt>
                <c:pt idx="19">
                  <c:v>57.5627</c:v>
                </c:pt>
                <c:pt idx="20">
                  <c:v>52.642300000000006</c:v>
                </c:pt>
                <c:pt idx="21">
                  <c:v>46.975099999999998</c:v>
                </c:pt>
                <c:pt idx="22">
                  <c:v>40.928899999999999</c:v>
                </c:pt>
                <c:pt idx="23">
                  <c:v>36.662999999999997</c:v>
                </c:pt>
                <c:pt idx="24">
                  <c:v>33.466500000000003</c:v>
                </c:pt>
                <c:pt idx="25">
                  <c:v>30.9648</c:v>
                </c:pt>
                <c:pt idx="26">
                  <c:v>28.0623</c:v>
                </c:pt>
                <c:pt idx="27">
                  <c:v>25.842700000000001</c:v>
                </c:pt>
                <c:pt idx="28">
                  <c:v>24.077599999999997</c:v>
                </c:pt>
                <c:pt idx="29">
                  <c:v>22.632000000000001</c:v>
                </c:pt>
                <c:pt idx="30">
                  <c:v>21.4207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6B-4876-B9B8-62E734235538}"/>
            </c:ext>
          </c:extLst>
        </c:ser>
        <c:ser>
          <c:idx val="2"/>
          <c:order val="2"/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'Load-displacement'!$Q$4:$Q$34</c:f>
              <c:numCache>
                <c:formatCode>General</c:formatCode>
                <c:ptCount val="31"/>
                <c:pt idx="0">
                  <c:v>0</c:v>
                </c:pt>
                <c:pt idx="1">
                  <c:v>9.9998900000000009E-3</c:v>
                </c:pt>
                <c:pt idx="2">
                  <c:v>1.99995E-2</c:v>
                </c:pt>
                <c:pt idx="3">
                  <c:v>3.4998599999999998E-2</c:v>
                </c:pt>
                <c:pt idx="4">
                  <c:v>5.7496199999999997E-2</c:v>
                </c:pt>
                <c:pt idx="5">
                  <c:v>9.1240299999999996E-2</c:v>
                </c:pt>
                <c:pt idx="6">
                  <c:v>0.14200199999999999</c:v>
                </c:pt>
                <c:pt idx="7">
                  <c:v>0.14472099999999999</c:v>
                </c:pt>
                <c:pt idx="8">
                  <c:v>0.14866299999999999</c:v>
                </c:pt>
                <c:pt idx="9">
                  <c:v>0.15423899999999999</c:v>
                </c:pt>
                <c:pt idx="10">
                  <c:v>0.162466</c:v>
                </c:pt>
                <c:pt idx="11">
                  <c:v>0.174647</c:v>
                </c:pt>
                <c:pt idx="12">
                  <c:v>0.19292400000000001</c:v>
                </c:pt>
                <c:pt idx="13">
                  <c:v>0.2203</c:v>
                </c:pt>
                <c:pt idx="14">
                  <c:v>0.26150200000000001</c:v>
                </c:pt>
                <c:pt idx="15">
                  <c:v>0.32335900000000001</c:v>
                </c:pt>
                <c:pt idx="16">
                  <c:v>0.415657</c:v>
                </c:pt>
                <c:pt idx="17">
                  <c:v>0.55303800000000003</c:v>
                </c:pt>
                <c:pt idx="18">
                  <c:v>0.75783900000000004</c:v>
                </c:pt>
                <c:pt idx="19">
                  <c:v>1.0643800000000001</c:v>
                </c:pt>
                <c:pt idx="20">
                  <c:v>1.52485</c:v>
                </c:pt>
                <c:pt idx="21">
                  <c:v>1.7858499999999999</c:v>
                </c:pt>
                <c:pt idx="22">
                  <c:v>2.0487500000000001</c:v>
                </c:pt>
                <c:pt idx="23">
                  <c:v>2.31345</c:v>
                </c:pt>
                <c:pt idx="24">
                  <c:v>2.7134900000000002</c:v>
                </c:pt>
                <c:pt idx="25">
                  <c:v>3.32029</c:v>
                </c:pt>
                <c:pt idx="26">
                  <c:v>4.2443600000000004</c:v>
                </c:pt>
                <c:pt idx="27">
                  <c:v>5.1813200000000004</c:v>
                </c:pt>
                <c:pt idx="28">
                  <c:v>6.1279300000000001</c:v>
                </c:pt>
                <c:pt idx="29">
                  <c:v>7.0820299999999996</c:v>
                </c:pt>
                <c:pt idx="30">
                  <c:v>8.0420300000000005</c:v>
                </c:pt>
              </c:numCache>
            </c:numRef>
          </c:xVal>
          <c:yVal>
            <c:numRef>
              <c:f>'Load-displacement'!$P$4:$P$34</c:f>
              <c:numCache>
                <c:formatCode>General</c:formatCode>
                <c:ptCount val="31"/>
                <c:pt idx="0">
                  <c:v>0</c:v>
                </c:pt>
                <c:pt idx="1">
                  <c:v>14.112299999999999</c:v>
                </c:pt>
                <c:pt idx="2">
                  <c:v>28.226700000000001</c:v>
                </c:pt>
                <c:pt idx="3">
                  <c:v>49.402300000000004</c:v>
                </c:pt>
                <c:pt idx="4">
                  <c:v>81.174700000000001</c:v>
                </c:pt>
                <c:pt idx="5">
                  <c:v>128.85300000000001</c:v>
                </c:pt>
                <c:pt idx="6">
                  <c:v>199.15799999999999</c:v>
                </c:pt>
                <c:pt idx="7">
                  <c:v>202.136</c:v>
                </c:pt>
                <c:pt idx="8">
                  <c:v>205.48</c:v>
                </c:pt>
                <c:pt idx="9">
                  <c:v>207.01599999999999</c:v>
                </c:pt>
                <c:pt idx="10">
                  <c:v>207.631</c:v>
                </c:pt>
                <c:pt idx="11">
                  <c:v>207.87299999999999</c:v>
                </c:pt>
                <c:pt idx="12">
                  <c:v>207.97200000000001</c:v>
                </c:pt>
                <c:pt idx="13">
                  <c:v>208.00800000000001</c:v>
                </c:pt>
                <c:pt idx="14">
                  <c:v>207.911</c:v>
                </c:pt>
                <c:pt idx="15">
                  <c:v>207.57900000000001</c:v>
                </c:pt>
                <c:pt idx="16">
                  <c:v>206.78200000000001</c:v>
                </c:pt>
                <c:pt idx="17">
                  <c:v>205.048</c:v>
                </c:pt>
                <c:pt idx="18">
                  <c:v>201.42699999999999</c:v>
                </c:pt>
                <c:pt idx="19">
                  <c:v>194.465</c:v>
                </c:pt>
                <c:pt idx="20">
                  <c:v>182.16399999999999</c:v>
                </c:pt>
                <c:pt idx="21">
                  <c:v>174.608</c:v>
                </c:pt>
                <c:pt idx="22">
                  <c:v>166.9</c:v>
                </c:pt>
                <c:pt idx="23">
                  <c:v>159.72800000000001</c:v>
                </c:pt>
                <c:pt idx="24">
                  <c:v>150.04599999999999</c:v>
                </c:pt>
                <c:pt idx="25">
                  <c:v>137.73500000000001</c:v>
                </c:pt>
                <c:pt idx="26">
                  <c:v>123.238</c:v>
                </c:pt>
                <c:pt idx="27">
                  <c:v>112.223</c:v>
                </c:pt>
                <c:pt idx="28">
                  <c:v>103.598</c:v>
                </c:pt>
                <c:pt idx="29">
                  <c:v>96.655299999999997</c:v>
                </c:pt>
                <c:pt idx="30">
                  <c:v>90.935000000000002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6B-4876-B9B8-62E734235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638960"/>
        <c:axId val="1046639920"/>
      </c:scatterChart>
      <c:valAx>
        <c:axId val="1046638960"/>
        <c:scaling>
          <c:orientation val="minMax"/>
          <c:max val="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Displacement</a:t>
                </a:r>
                <a:r>
                  <a:rPr lang="en-MY" baseline="0"/>
                  <a:t> (mm)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639920"/>
        <c:crosses val="autoZero"/>
        <c:crossBetween val="midCat"/>
      </c:valAx>
      <c:valAx>
        <c:axId val="1046639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F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63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'Extension 1 (Configuration)'!$R$3:$S$3</c:f>
              <c:strCache>
                <c:ptCount val="1"/>
                <c:pt idx="0">
                  <c:v>C-O-A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'Extension 1 (Configuration)'!$R$5:$R$35</c:f>
              <c:numCache>
                <c:formatCode>General</c:formatCode>
                <c:ptCount val="31"/>
                <c:pt idx="0">
                  <c:v>0</c:v>
                </c:pt>
                <c:pt idx="1">
                  <c:v>9.9998599999999993E-3</c:v>
                </c:pt>
                <c:pt idx="2">
                  <c:v>1.9999400000000001E-2</c:v>
                </c:pt>
                <c:pt idx="3">
                  <c:v>3.49982E-2</c:v>
                </c:pt>
                <c:pt idx="4">
                  <c:v>5.74951E-2</c:v>
                </c:pt>
                <c:pt idx="5">
                  <c:v>9.1237399999999996E-2</c:v>
                </c:pt>
                <c:pt idx="6">
                  <c:v>0.14113200000000001</c:v>
                </c:pt>
                <c:pt idx="7">
                  <c:v>0.215755</c:v>
                </c:pt>
                <c:pt idx="8">
                  <c:v>0.32833800000000002</c:v>
                </c:pt>
                <c:pt idx="9">
                  <c:v>0.49801600000000001</c:v>
                </c:pt>
                <c:pt idx="10">
                  <c:v>0.59371700000000005</c:v>
                </c:pt>
                <c:pt idx="11">
                  <c:v>0.64763400000000004</c:v>
                </c:pt>
                <c:pt idx="12">
                  <c:v>0.72848000000000002</c:v>
                </c:pt>
                <c:pt idx="13">
                  <c:v>0.74861699999999998</c:v>
                </c:pt>
                <c:pt idx="14">
                  <c:v>0.76841099999999996</c:v>
                </c:pt>
                <c:pt idx="15">
                  <c:v>0.79742500000000005</c:v>
                </c:pt>
                <c:pt idx="16">
                  <c:v>0.83971899999999999</c:v>
                </c:pt>
                <c:pt idx="17">
                  <c:v>0.89715199999999995</c:v>
                </c:pt>
                <c:pt idx="18">
                  <c:v>0.94735599999999998</c:v>
                </c:pt>
                <c:pt idx="19">
                  <c:v>0.996452</c:v>
                </c:pt>
                <c:pt idx="20">
                  <c:v>1.0227299999999999</c:v>
                </c:pt>
                <c:pt idx="21">
                  <c:v>1.0581799999999999</c:v>
                </c:pt>
                <c:pt idx="22">
                  <c:v>1.0783100000000001</c:v>
                </c:pt>
                <c:pt idx="23">
                  <c:v>1.1148100000000001</c:v>
                </c:pt>
                <c:pt idx="24">
                  <c:v>1.17547</c:v>
                </c:pt>
                <c:pt idx="25">
                  <c:v>1.2402</c:v>
                </c:pt>
                <c:pt idx="26">
                  <c:v>1.30958</c:v>
                </c:pt>
                <c:pt idx="27">
                  <c:v>1.3811</c:v>
                </c:pt>
                <c:pt idx="28">
                  <c:v>1.49068</c:v>
                </c:pt>
                <c:pt idx="29">
                  <c:v>1.6021000000000001</c:v>
                </c:pt>
                <c:pt idx="30">
                  <c:v>1.7147600000000001</c:v>
                </c:pt>
              </c:numCache>
            </c:numRef>
          </c:xVal>
          <c:yVal>
            <c:numRef>
              <c:f>'Extension 1 (Configuration)'!$S$5:$S$35</c:f>
              <c:numCache>
                <c:formatCode>General</c:formatCode>
                <c:ptCount val="31"/>
                <c:pt idx="0">
                  <c:v>0</c:v>
                </c:pt>
                <c:pt idx="1">
                  <c:v>1.7936800000000002</c:v>
                </c:pt>
                <c:pt idx="2">
                  <c:v>3.58745</c:v>
                </c:pt>
                <c:pt idx="3">
                  <c:v>6.2782299999999998</c:v>
                </c:pt>
                <c:pt idx="4">
                  <c:v>10.3147</c:v>
                </c:pt>
                <c:pt idx="5">
                  <c:v>16.369700000000002</c:v>
                </c:pt>
                <c:pt idx="6">
                  <c:v>22.195900000000002</c:v>
                </c:pt>
                <c:pt idx="7">
                  <c:v>25.34</c:v>
                </c:pt>
                <c:pt idx="8">
                  <c:v>29.994799999999998</c:v>
                </c:pt>
                <c:pt idx="9">
                  <c:v>36.921800000000005</c:v>
                </c:pt>
                <c:pt idx="10">
                  <c:v>40.767400000000002</c:v>
                </c:pt>
                <c:pt idx="11">
                  <c:v>42.900400000000005</c:v>
                </c:pt>
                <c:pt idx="12">
                  <c:v>45.956199999999995</c:v>
                </c:pt>
                <c:pt idx="13">
                  <c:v>46.643699999999995</c:v>
                </c:pt>
                <c:pt idx="14">
                  <c:v>47.235699999999994</c:v>
                </c:pt>
                <c:pt idx="15">
                  <c:v>47.958800000000004</c:v>
                </c:pt>
                <c:pt idx="16">
                  <c:v>48.7211</c:v>
                </c:pt>
                <c:pt idx="17">
                  <c:v>48.5062</c:v>
                </c:pt>
                <c:pt idx="18">
                  <c:v>46.8613</c:v>
                </c:pt>
                <c:pt idx="19">
                  <c:v>44.600099999999998</c:v>
                </c:pt>
                <c:pt idx="20">
                  <c:v>43.001800000000003</c:v>
                </c:pt>
                <c:pt idx="21">
                  <c:v>39.999099999999999</c:v>
                </c:pt>
                <c:pt idx="22">
                  <c:v>38.108899999999998</c:v>
                </c:pt>
                <c:pt idx="23">
                  <c:v>35.991199999999999</c:v>
                </c:pt>
                <c:pt idx="24">
                  <c:v>33.1738</c:v>
                </c:pt>
                <c:pt idx="25">
                  <c:v>31.479099999999999</c:v>
                </c:pt>
                <c:pt idx="26">
                  <c:v>30.247599999999998</c:v>
                </c:pt>
                <c:pt idx="27">
                  <c:v>29.298999999999999</c:v>
                </c:pt>
                <c:pt idx="28">
                  <c:v>28.198700000000002</c:v>
                </c:pt>
                <c:pt idx="29">
                  <c:v>27.339200000000002</c:v>
                </c:pt>
                <c:pt idx="30">
                  <c:v>26.622900000000001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97-4024-B1A2-6B9D8EFDC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33519"/>
        <c:axId val="229835439"/>
      </c:scatterChart>
      <c:valAx>
        <c:axId val="229833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35439"/>
        <c:crosses val="autoZero"/>
        <c:crossBetween val="midCat"/>
      </c:valAx>
      <c:valAx>
        <c:axId val="2298354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3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'Extension 1 (Configuration)'!$U$3:$V$3</c:f>
              <c:strCache>
                <c:ptCount val="1"/>
                <c:pt idx="0">
                  <c:v>C-O-A-Imp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'Extension 1 (Configuration)'!$U$5:$U$35</c:f>
              <c:numCache>
                <c:formatCode>General</c:formatCode>
                <c:ptCount val="31"/>
                <c:pt idx="0">
                  <c:v>2.1617500000000001E-4</c:v>
                </c:pt>
                <c:pt idx="1">
                  <c:v>1.0210500000000001E-2</c:v>
                </c:pt>
                <c:pt idx="2">
                  <c:v>2.0191799999999999E-2</c:v>
                </c:pt>
                <c:pt idx="3">
                  <c:v>3.5157000000000001E-2</c:v>
                </c:pt>
                <c:pt idx="4">
                  <c:v>5.7588800000000002E-2</c:v>
                </c:pt>
                <c:pt idx="5">
                  <c:v>9.1176999999999994E-2</c:v>
                </c:pt>
                <c:pt idx="6">
                  <c:v>0.14084099999999999</c:v>
                </c:pt>
                <c:pt idx="7">
                  <c:v>0.19092600000000001</c:v>
                </c:pt>
                <c:pt idx="8">
                  <c:v>0.240679</c:v>
                </c:pt>
                <c:pt idx="9">
                  <c:v>0.29046100000000002</c:v>
                </c:pt>
                <c:pt idx="10">
                  <c:v>0.36511199999999999</c:v>
                </c:pt>
                <c:pt idx="11">
                  <c:v>0.47649999999999998</c:v>
                </c:pt>
                <c:pt idx="12">
                  <c:v>0.48237400000000002</c:v>
                </c:pt>
                <c:pt idx="13">
                  <c:v>0.49112</c:v>
                </c:pt>
                <c:pt idx="14">
                  <c:v>0.50420799999999999</c:v>
                </c:pt>
                <c:pt idx="15">
                  <c:v>0.52374699999999996</c:v>
                </c:pt>
                <c:pt idx="16">
                  <c:v>0.55272699999999997</c:v>
                </c:pt>
                <c:pt idx="17">
                  <c:v>0.56873799999999997</c:v>
                </c:pt>
                <c:pt idx="18">
                  <c:v>0.57533299999999998</c:v>
                </c:pt>
                <c:pt idx="19">
                  <c:v>0.57075799999999999</c:v>
                </c:pt>
                <c:pt idx="20">
                  <c:v>0.56608800000000004</c:v>
                </c:pt>
                <c:pt idx="21">
                  <c:v>0.56497200000000003</c:v>
                </c:pt>
                <c:pt idx="22">
                  <c:v>0.56439099999999998</c:v>
                </c:pt>
                <c:pt idx="23">
                  <c:v>0.56365799999999999</c:v>
                </c:pt>
                <c:pt idx="24">
                  <c:v>0.56288300000000002</c:v>
                </c:pt>
                <c:pt idx="25">
                  <c:v>0.56205799999999995</c:v>
                </c:pt>
                <c:pt idx="26">
                  <c:v>0.56132700000000002</c:v>
                </c:pt>
                <c:pt idx="27">
                  <c:v>0.56078600000000001</c:v>
                </c:pt>
                <c:pt idx="28">
                  <c:v>0.56014900000000001</c:v>
                </c:pt>
                <c:pt idx="29">
                  <c:v>0.55950699999999998</c:v>
                </c:pt>
                <c:pt idx="30">
                  <c:v>0.55937899999999996</c:v>
                </c:pt>
              </c:numCache>
            </c:numRef>
          </c:xVal>
          <c:yVal>
            <c:numRef>
              <c:f>'Extension 1 (Configuration)'!$V$5:$V$35</c:f>
              <c:numCache>
                <c:formatCode>General</c:formatCode>
                <c:ptCount val="31"/>
                <c:pt idx="0">
                  <c:v>2.24922E-10</c:v>
                </c:pt>
                <c:pt idx="1">
                  <c:v>1.78908</c:v>
                </c:pt>
                <c:pt idx="2">
                  <c:v>3.5748899999999999</c:v>
                </c:pt>
                <c:pt idx="3">
                  <c:v>6.2513300000000003</c:v>
                </c:pt>
                <c:pt idx="4">
                  <c:v>10.2585</c:v>
                </c:pt>
                <c:pt idx="5">
                  <c:v>16.235799999999998</c:v>
                </c:pt>
                <c:pt idx="6">
                  <c:v>22.097799999999999</c:v>
                </c:pt>
                <c:pt idx="7">
                  <c:v>24.262</c:v>
                </c:pt>
                <c:pt idx="8">
                  <c:v>26.332099999999997</c:v>
                </c:pt>
                <c:pt idx="9">
                  <c:v>28.389400000000002</c:v>
                </c:pt>
                <c:pt idx="10">
                  <c:v>31.451499999999999</c:v>
                </c:pt>
                <c:pt idx="11">
                  <c:v>35.960300000000004</c:v>
                </c:pt>
                <c:pt idx="12">
                  <c:v>36.196199999999997</c:v>
                </c:pt>
                <c:pt idx="13">
                  <c:v>36.546800000000005</c:v>
                </c:pt>
                <c:pt idx="14">
                  <c:v>37.0702</c:v>
                </c:pt>
                <c:pt idx="15">
                  <c:v>37.847999999999999</c:v>
                </c:pt>
                <c:pt idx="16">
                  <c:v>38.991500000000002</c:v>
                </c:pt>
                <c:pt idx="17">
                  <c:v>39.616300000000003</c:v>
                </c:pt>
                <c:pt idx="18">
                  <c:v>39.685900000000004</c:v>
                </c:pt>
                <c:pt idx="19">
                  <c:v>38.510899999999999</c:v>
                </c:pt>
                <c:pt idx="20">
                  <c:v>37.321800000000003</c:v>
                </c:pt>
                <c:pt idx="21">
                  <c:v>37.032400000000003</c:v>
                </c:pt>
                <c:pt idx="22">
                  <c:v>36.877000000000002</c:v>
                </c:pt>
                <c:pt idx="23">
                  <c:v>36.6738</c:v>
                </c:pt>
                <c:pt idx="24">
                  <c:v>36.460300000000004</c:v>
                </c:pt>
                <c:pt idx="25">
                  <c:v>36.194800000000001</c:v>
                </c:pt>
                <c:pt idx="26">
                  <c:v>35.936199999999999</c:v>
                </c:pt>
                <c:pt idx="27">
                  <c:v>35.705800000000004</c:v>
                </c:pt>
                <c:pt idx="28">
                  <c:v>35.386800000000001</c:v>
                </c:pt>
                <c:pt idx="29">
                  <c:v>34.956900000000005</c:v>
                </c:pt>
                <c:pt idx="30">
                  <c:v>34.432600000000001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9F-40EA-AFB8-E82C9BC9B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50799"/>
        <c:axId val="2049544783"/>
      </c:scatterChart>
      <c:valAx>
        <c:axId val="229850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44783"/>
        <c:crosses val="autoZero"/>
        <c:crossBetween val="midCat"/>
      </c:valAx>
      <c:valAx>
        <c:axId val="2049544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50799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'Extension 1 (Configuration)'!$X$3:$Y$3</c:f>
              <c:strCache>
                <c:ptCount val="1"/>
                <c:pt idx="0">
                  <c:v>C-O-B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'Extension 1 (Configuration)'!$X$5:$X$35</c:f>
              <c:numCache>
                <c:formatCode>0.00</c:formatCode>
                <c:ptCount val="31"/>
                <c:pt idx="0">
                  <c:v>0</c:v>
                </c:pt>
                <c:pt idx="1">
                  <c:v>9.9505300000000008E-3</c:v>
                </c:pt>
                <c:pt idx="2">
                  <c:v>1.9795799999999999E-2</c:v>
                </c:pt>
                <c:pt idx="3">
                  <c:v>3.4346300000000003E-2</c:v>
                </c:pt>
                <c:pt idx="4">
                  <c:v>5.5583899999999999E-2</c:v>
                </c:pt>
                <c:pt idx="5">
                  <c:v>8.5473400000000005E-2</c:v>
                </c:pt>
                <c:pt idx="6">
                  <c:v>9.6948099999999995E-2</c:v>
                </c:pt>
                <c:pt idx="7">
                  <c:v>9.80375E-2</c:v>
                </c:pt>
                <c:pt idx="8">
                  <c:v>9.9424100000000001E-2</c:v>
                </c:pt>
                <c:pt idx="9">
                  <c:v>9.9850999999999995E-2</c:v>
                </c:pt>
                <c:pt idx="10">
                  <c:v>0.10011</c:v>
                </c:pt>
                <c:pt idx="11">
                  <c:v>9.9992600000000001E-2</c:v>
                </c:pt>
                <c:pt idx="12">
                  <c:v>9.9879399999999993E-2</c:v>
                </c:pt>
                <c:pt idx="13">
                  <c:v>9.9845199999999995E-2</c:v>
                </c:pt>
                <c:pt idx="14">
                  <c:v>0.100075</c:v>
                </c:pt>
                <c:pt idx="15">
                  <c:v>0.10097399999999999</c:v>
                </c:pt>
                <c:pt idx="16">
                  <c:v>0.102913</c:v>
                </c:pt>
                <c:pt idx="17">
                  <c:v>0.10803599999999999</c:v>
                </c:pt>
                <c:pt idx="18">
                  <c:v>0.11974600000000001</c:v>
                </c:pt>
                <c:pt idx="19">
                  <c:v>0.14208000000000001</c:v>
                </c:pt>
                <c:pt idx="20">
                  <c:v>0.18576500000000001</c:v>
                </c:pt>
                <c:pt idx="21">
                  <c:v>0.27173700000000001</c:v>
                </c:pt>
                <c:pt idx="22">
                  <c:v>0.32903199999999999</c:v>
                </c:pt>
                <c:pt idx="23">
                  <c:v>0.42626199999999997</c:v>
                </c:pt>
                <c:pt idx="24">
                  <c:v>0.48522599999999999</c:v>
                </c:pt>
                <c:pt idx="25">
                  <c:v>0.57896000000000003</c:v>
                </c:pt>
                <c:pt idx="26">
                  <c:v>0.72760899999999995</c:v>
                </c:pt>
                <c:pt idx="27">
                  <c:v>0.88613399999999998</c:v>
                </c:pt>
                <c:pt idx="28">
                  <c:v>1.0535600000000001</c:v>
                </c:pt>
                <c:pt idx="29">
                  <c:v>1.3243799999999999</c:v>
                </c:pt>
                <c:pt idx="30">
                  <c:v>1.3915999999999999</c:v>
                </c:pt>
              </c:numCache>
            </c:numRef>
          </c:xVal>
          <c:yVal>
            <c:numRef>
              <c:f>'Extension 1 (Configuration)'!$Y$5:$Y$35</c:f>
              <c:numCache>
                <c:formatCode>General</c:formatCode>
                <c:ptCount val="31"/>
                <c:pt idx="0">
                  <c:v>0</c:v>
                </c:pt>
                <c:pt idx="1">
                  <c:v>10.597</c:v>
                </c:pt>
                <c:pt idx="2">
                  <c:v>21.052199999999999</c:v>
                </c:pt>
                <c:pt idx="3">
                  <c:v>36.4407</c:v>
                </c:pt>
                <c:pt idx="4">
                  <c:v>58.7239</c:v>
                </c:pt>
                <c:pt idx="5">
                  <c:v>89.376300000000001</c:v>
                </c:pt>
                <c:pt idx="6">
                  <c:v>99.273899999999998</c:v>
                </c:pt>
                <c:pt idx="7">
                  <c:v>98.156600000000012</c:v>
                </c:pt>
                <c:pt idx="8">
                  <c:v>97.025100000000009</c:v>
                </c:pt>
                <c:pt idx="9">
                  <c:v>96.765799999999999</c:v>
                </c:pt>
                <c:pt idx="10">
                  <c:v>96.621899999999997</c:v>
                </c:pt>
                <c:pt idx="11">
                  <c:v>95.259799999999998</c:v>
                </c:pt>
                <c:pt idx="12">
                  <c:v>94.486500000000007</c:v>
                </c:pt>
                <c:pt idx="13">
                  <c:v>93.409499999999994</c:v>
                </c:pt>
                <c:pt idx="14">
                  <c:v>91.938100000000006</c:v>
                </c:pt>
                <c:pt idx="15">
                  <c:v>89.991699999999994</c:v>
                </c:pt>
                <c:pt idx="16">
                  <c:v>87.069199999999995</c:v>
                </c:pt>
                <c:pt idx="17">
                  <c:v>83.591200000000001</c:v>
                </c:pt>
                <c:pt idx="18">
                  <c:v>79.714699999999993</c:v>
                </c:pt>
                <c:pt idx="19">
                  <c:v>74.954399999999993</c:v>
                </c:pt>
                <c:pt idx="20">
                  <c:v>69.618899999999996</c:v>
                </c:pt>
                <c:pt idx="21">
                  <c:v>63.526000000000003</c:v>
                </c:pt>
                <c:pt idx="22">
                  <c:v>60.945999999999998</c:v>
                </c:pt>
                <c:pt idx="23">
                  <c:v>56.667300000000004</c:v>
                </c:pt>
                <c:pt idx="24">
                  <c:v>54.717599999999997</c:v>
                </c:pt>
                <c:pt idx="25">
                  <c:v>52.173199999999994</c:v>
                </c:pt>
                <c:pt idx="26">
                  <c:v>48.767400000000002</c:v>
                </c:pt>
                <c:pt idx="27">
                  <c:v>45.8309</c:v>
                </c:pt>
                <c:pt idx="28">
                  <c:v>43.207800000000006</c:v>
                </c:pt>
                <c:pt idx="29">
                  <c:v>40.090000000000003</c:v>
                </c:pt>
                <c:pt idx="30">
                  <c:v>39.450699999999998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7B-4112-B136-F1CCD2F41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422735"/>
        <c:axId val="1973418895"/>
      </c:scatterChart>
      <c:valAx>
        <c:axId val="197342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18895"/>
        <c:crosses val="autoZero"/>
        <c:crossBetween val="midCat"/>
        <c:majorUnit val="0.4"/>
      </c:valAx>
      <c:valAx>
        <c:axId val="1973418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2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'Extension 1 (Configuration)'!$AA$3:$AB$3</c:f>
              <c:strCache>
                <c:ptCount val="1"/>
                <c:pt idx="0">
                  <c:v>C-O-B-Imp</c:v>
                </c:pt>
              </c:strCache>
            </c:strRef>
          </c:tx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'Extension 1 (Configuration)'!$AA$5:$AA$35</c:f>
              <c:numCache>
                <c:formatCode>0.00</c:formatCode>
                <c:ptCount val="31"/>
                <c:pt idx="0">
                  <c:v>3.3399199999999997E-5</c:v>
                </c:pt>
                <c:pt idx="1">
                  <c:v>9.9810799999999998E-3</c:v>
                </c:pt>
                <c:pt idx="2">
                  <c:v>1.9817000000000001E-2</c:v>
                </c:pt>
                <c:pt idx="3">
                  <c:v>3.4337199999999998E-2</c:v>
                </c:pt>
                <c:pt idx="4">
                  <c:v>5.5469999999999998E-2</c:v>
                </c:pt>
                <c:pt idx="5">
                  <c:v>8.48854E-2</c:v>
                </c:pt>
                <c:pt idx="6">
                  <c:v>9.5355800000000004E-2</c:v>
                </c:pt>
                <c:pt idx="7">
                  <c:v>9.5291500000000001E-2</c:v>
                </c:pt>
                <c:pt idx="8">
                  <c:v>9.5025399999999996E-2</c:v>
                </c:pt>
                <c:pt idx="9">
                  <c:v>9.4649999999999998E-2</c:v>
                </c:pt>
                <c:pt idx="10">
                  <c:v>9.4372499999999998E-2</c:v>
                </c:pt>
                <c:pt idx="11">
                  <c:v>9.4208E-2</c:v>
                </c:pt>
                <c:pt idx="12">
                  <c:v>9.4212000000000004E-2</c:v>
                </c:pt>
                <c:pt idx="13">
                  <c:v>9.4120300000000004E-2</c:v>
                </c:pt>
                <c:pt idx="14">
                  <c:v>9.3895400000000004E-2</c:v>
                </c:pt>
                <c:pt idx="15">
                  <c:v>9.3554200000000004E-2</c:v>
                </c:pt>
                <c:pt idx="16">
                  <c:v>9.3224899999999999E-2</c:v>
                </c:pt>
                <c:pt idx="17">
                  <c:v>9.3080899999999994E-2</c:v>
                </c:pt>
                <c:pt idx="18">
                  <c:v>9.2506599999999994E-2</c:v>
                </c:pt>
                <c:pt idx="19">
                  <c:v>9.2387999999999998E-2</c:v>
                </c:pt>
                <c:pt idx="20">
                  <c:v>9.2257400000000003E-2</c:v>
                </c:pt>
                <c:pt idx="21">
                  <c:v>9.2015399999999997E-2</c:v>
                </c:pt>
                <c:pt idx="22">
                  <c:v>9.2015399999999997E-2</c:v>
                </c:pt>
                <c:pt idx="23">
                  <c:v>9.2015200000000005E-2</c:v>
                </c:pt>
                <c:pt idx="24">
                  <c:v>9.2014600000000002E-2</c:v>
                </c:pt>
                <c:pt idx="25">
                  <c:v>9.2012099999999999E-2</c:v>
                </c:pt>
                <c:pt idx="26">
                  <c:v>9.2004199999999994E-2</c:v>
                </c:pt>
                <c:pt idx="27">
                  <c:v>9.1983099999999998E-2</c:v>
                </c:pt>
                <c:pt idx="28">
                  <c:v>9.1931499999999999E-2</c:v>
                </c:pt>
                <c:pt idx="29">
                  <c:v>9.1804399999999994E-2</c:v>
                </c:pt>
                <c:pt idx="30">
                  <c:v>9.1466500000000006E-2</c:v>
                </c:pt>
              </c:numCache>
            </c:numRef>
          </c:xVal>
          <c:yVal>
            <c:numRef>
              <c:f>'Extension 1 (Configuration)'!$AB$5:$AB$35</c:f>
              <c:numCache>
                <c:formatCode>General</c:formatCode>
                <c:ptCount val="31"/>
                <c:pt idx="0">
                  <c:v>1.2200599999999999E-10</c:v>
                </c:pt>
                <c:pt idx="1">
                  <c:v>10.585700000000001</c:v>
                </c:pt>
                <c:pt idx="2">
                  <c:v>21.0214</c:v>
                </c:pt>
                <c:pt idx="3">
                  <c:v>36.360199999999999</c:v>
                </c:pt>
                <c:pt idx="4">
                  <c:v>58.496699999999997</c:v>
                </c:pt>
                <c:pt idx="5">
                  <c:v>88.577199999999991</c:v>
                </c:pt>
                <c:pt idx="6">
                  <c:v>97.917899999999989</c:v>
                </c:pt>
                <c:pt idx="7">
                  <c:v>97.773899999999998</c:v>
                </c:pt>
                <c:pt idx="8">
                  <c:v>97.456100000000006</c:v>
                </c:pt>
                <c:pt idx="9">
                  <c:v>97.02239999999999</c:v>
                </c:pt>
                <c:pt idx="10">
                  <c:v>96.704300000000003</c:v>
                </c:pt>
                <c:pt idx="11">
                  <c:v>96.515600000000006</c:v>
                </c:pt>
                <c:pt idx="12">
                  <c:v>96.524199999999993</c:v>
                </c:pt>
                <c:pt idx="13">
                  <c:v>96.420400000000001</c:v>
                </c:pt>
                <c:pt idx="14">
                  <c:v>96.166600000000003</c:v>
                </c:pt>
                <c:pt idx="15">
                  <c:v>95.791800000000009</c:v>
                </c:pt>
                <c:pt idx="16">
                  <c:v>95.442499999999995</c:v>
                </c:pt>
                <c:pt idx="17">
                  <c:v>95.282699999999991</c:v>
                </c:pt>
                <c:pt idx="18">
                  <c:v>94.659100000000009</c:v>
                </c:pt>
                <c:pt idx="19">
                  <c:v>94.532699999999991</c:v>
                </c:pt>
                <c:pt idx="20">
                  <c:v>94.394499999999994</c:v>
                </c:pt>
                <c:pt idx="21">
                  <c:v>94.139699999999991</c:v>
                </c:pt>
                <c:pt idx="22">
                  <c:v>94.14</c:v>
                </c:pt>
                <c:pt idx="23">
                  <c:v>94.140100000000004</c:v>
                </c:pt>
                <c:pt idx="24">
                  <c:v>94.140100000000004</c:v>
                </c:pt>
                <c:pt idx="25">
                  <c:v>94.138499999999993</c:v>
                </c:pt>
                <c:pt idx="26">
                  <c:v>94.131399999999999</c:v>
                </c:pt>
                <c:pt idx="27">
                  <c:v>94.110600000000005</c:v>
                </c:pt>
                <c:pt idx="28">
                  <c:v>94.057500000000005</c:v>
                </c:pt>
                <c:pt idx="29">
                  <c:v>93.923500000000004</c:v>
                </c:pt>
                <c:pt idx="30">
                  <c:v>93.566500000000005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0F-491B-8407-500B7DE7E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419951"/>
        <c:axId val="1855420431"/>
      </c:scatterChart>
      <c:valAx>
        <c:axId val="1855419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Displacement</a:t>
                </a:r>
                <a:r>
                  <a:rPr lang="en-MY" baseline="0"/>
                  <a:t> (mm)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20431"/>
        <c:crosses val="autoZero"/>
        <c:crossBetween val="midCat"/>
      </c:valAx>
      <c:valAx>
        <c:axId val="1855420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19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71476886565208"/>
          <c:y val="2.5428331875182269E-2"/>
          <c:w val="0.8157296890509862"/>
          <c:h val="0.890320428696412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'Extension 1 (Configuration)'!$H$4</c:f>
              <c:strCache>
                <c:ptCount val="1"/>
                <c:pt idx="0">
                  <c:v>GMNA</c:v>
                </c:pt>
              </c:strCache>
            </c:strRef>
          </c:tx>
          <c:spPr>
            <a:solidFill>
              <a:srgbClr val="FFFF00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'Extension 1 (Configuration)'!$B$5:$B$8</c:f>
              <c:strCache>
                <c:ptCount val="4"/>
                <c:pt idx="0">
                  <c:v>Conf-Outer</c:v>
                </c:pt>
                <c:pt idx="1">
                  <c:v>Conf-Inner</c:v>
                </c:pt>
                <c:pt idx="2">
                  <c:v>Conf-Sand-1</c:v>
                </c:pt>
                <c:pt idx="3">
                  <c:v>Conf-Sand-2</c:v>
                </c:pt>
              </c:strCache>
            </c:strRef>
          </c:cat>
          <c:val>
            <c:numRef>
              <c:f>'Extension 1 (Configuration)'!$H$5:$H$8</c:f>
              <c:numCache>
                <c:formatCode>0.000</c:formatCode>
                <c:ptCount val="4"/>
                <c:pt idx="0">
                  <c:v>48.7211</c:v>
                </c:pt>
                <c:pt idx="1">
                  <c:v>33.279200000000003</c:v>
                </c:pt>
                <c:pt idx="2">
                  <c:v>39.548999999999999</c:v>
                </c:pt>
                <c:pt idx="3">
                  <c:v>52.7896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0D-4389-9873-0C9F987B4560}"/>
            </c:ext>
          </c:extLst>
        </c:ser>
        <c:ser>
          <c:idx val="1"/>
          <c:order val="1"/>
          <c:tx>
            <c:strRef>
              <c:f>'Extension 1 (Configuration)'!$I$4</c:f>
              <c:strCache>
                <c:ptCount val="1"/>
                <c:pt idx="0">
                  <c:v>GMNIA</c:v>
                </c:pt>
              </c:strCache>
            </c:strRef>
          </c:tx>
          <c:spPr>
            <a:solidFill>
              <a:srgbClr val="92D050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'Extension 1 (Configuration)'!$B$5:$B$8</c:f>
              <c:strCache>
                <c:ptCount val="4"/>
                <c:pt idx="0">
                  <c:v>Conf-Outer</c:v>
                </c:pt>
                <c:pt idx="1">
                  <c:v>Conf-Inner</c:v>
                </c:pt>
                <c:pt idx="2">
                  <c:v>Conf-Sand-1</c:v>
                </c:pt>
                <c:pt idx="3">
                  <c:v>Conf-Sand-2</c:v>
                </c:pt>
              </c:strCache>
            </c:strRef>
          </c:cat>
          <c:val>
            <c:numRef>
              <c:f>'Extension 1 (Configuration)'!$I$5:$I$8</c:f>
              <c:numCache>
                <c:formatCode>0.000</c:formatCode>
                <c:ptCount val="4"/>
                <c:pt idx="0">
                  <c:v>39.685899999999997</c:v>
                </c:pt>
                <c:pt idx="1">
                  <c:v>31.113399999999999</c:v>
                </c:pt>
                <c:pt idx="2">
                  <c:v>37.713299999999997</c:v>
                </c:pt>
                <c:pt idx="3">
                  <c:v>43.472200000000001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0D-4389-9873-0C9F987B4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921727"/>
        <c:axId val="605916447"/>
      </c:barChart>
      <c:catAx>
        <c:axId val="60592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16447"/>
        <c:crosses val="autoZero"/>
        <c:auto val="1"/>
        <c:lblAlgn val="ctr"/>
        <c:lblOffset val="100"/>
        <c:noMultiLvlLbl val="0"/>
      </c:catAx>
      <c:valAx>
        <c:axId val="605916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2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71476886565208"/>
          <c:y val="0.10846958309667766"/>
          <c:w val="0.8157296890509862"/>
          <c:h val="0.807279216238041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'Extension 1 (Configuration)'!$H$4</c:f>
              <c:strCache>
                <c:ptCount val="1"/>
                <c:pt idx="0">
                  <c:v>GMNA</c:v>
                </c:pt>
              </c:strCache>
            </c:strRef>
          </c:tx>
          <c:spPr>
            <a:solidFill>
              <a:srgbClr val="FFFF00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'Extension 1 (Configuration)'!$B$5:$B$8</c:f>
              <c:strCache>
                <c:ptCount val="4"/>
                <c:pt idx="0">
                  <c:v>Conf-Outer</c:v>
                </c:pt>
                <c:pt idx="1">
                  <c:v>Conf-Inner</c:v>
                </c:pt>
                <c:pt idx="2">
                  <c:v>Conf-Sand-1</c:v>
                </c:pt>
                <c:pt idx="3">
                  <c:v>Conf-Sand-2</c:v>
                </c:pt>
              </c:strCache>
            </c:strRef>
          </c:cat>
          <c:val>
            <c:numRef>
              <c:f>'Extension 1 (Configuration)'!$H$13:$H$16</c:f>
              <c:numCache>
                <c:formatCode>0.000</c:formatCode>
                <c:ptCount val="4"/>
                <c:pt idx="0">
                  <c:v>99.273899999999998</c:v>
                </c:pt>
                <c:pt idx="1">
                  <c:v>105.565</c:v>
                </c:pt>
                <c:pt idx="2">
                  <c:v>110.96</c:v>
                </c:pt>
                <c:pt idx="3">
                  <c:v>91.130399999999995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73E-BD4F-5621D80D4E11}"/>
            </c:ext>
          </c:extLst>
        </c:ser>
        <c:ser>
          <c:idx val="1"/>
          <c:order val="1"/>
          <c:tx>
            <c:strRef>
              <c:f>'Extension 1 (Configuration)'!$I$4</c:f>
              <c:strCache>
                <c:ptCount val="1"/>
                <c:pt idx="0">
                  <c:v>GMNIA</c:v>
                </c:pt>
              </c:strCache>
            </c:strRef>
          </c:tx>
          <c:spPr>
            <a:solidFill>
              <a:srgbClr val="92D050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'Extension 1 (Configuration)'!$B$5:$B$8</c:f>
              <c:strCache>
                <c:ptCount val="4"/>
                <c:pt idx="0">
                  <c:v>Conf-Outer</c:v>
                </c:pt>
                <c:pt idx="1">
                  <c:v>Conf-Inner</c:v>
                </c:pt>
                <c:pt idx="2">
                  <c:v>Conf-Sand-1</c:v>
                </c:pt>
                <c:pt idx="3">
                  <c:v>Conf-Sand-2</c:v>
                </c:pt>
              </c:strCache>
            </c:strRef>
          </c:cat>
          <c:val>
            <c:numRef>
              <c:f>'Extension 1 (Configuration)'!$I$13:$I$16</c:f>
              <c:numCache>
                <c:formatCode>0.000</c:formatCode>
                <c:ptCount val="4"/>
                <c:pt idx="0">
                  <c:v>97.917900000000003</c:v>
                </c:pt>
                <c:pt idx="1">
                  <c:v>96.7012</c:v>
                </c:pt>
                <c:pt idx="2">
                  <c:v>109.64400000000001</c:v>
                </c:pt>
                <c:pt idx="3">
                  <c:v>79.747500000000002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10-473E-BD4F-5621D80D4E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5921727"/>
        <c:axId val="605916447"/>
      </c:barChart>
      <c:catAx>
        <c:axId val="60592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16447"/>
        <c:crosses val="autoZero"/>
        <c:auto val="1"/>
        <c:lblAlgn val="ctr"/>
        <c:lblOffset val="100"/>
        <c:noMultiLvlLbl val="0"/>
      </c:catAx>
      <c:valAx>
        <c:axId val="605916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2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6306162882057949"/>
          <c:y val="1.3220018230439837E-2"/>
          <c:w val="0.218147893972756"/>
          <c:h val="7.43631230193827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472-4014-8BC3-0AA9F96550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'Extension 2 (Ply Optimization)'!$B$4:$B$11</c:f>
              <c:strCache>
                <c:ptCount val="8"/>
                <c:pt idx="0">
                  <c:v>Opt-Base</c:v>
                </c:pt>
                <c:pt idx="1">
                  <c:v>Opt-15</c:v>
                </c:pt>
                <c:pt idx="2">
                  <c:v>Opt-30</c:v>
                </c:pt>
                <c:pt idx="3">
                  <c:v>Opt-45</c:v>
                </c:pt>
                <c:pt idx="4">
                  <c:v>Opt-60</c:v>
                </c:pt>
                <c:pt idx="5">
                  <c:v>Opt-75</c:v>
                </c:pt>
                <c:pt idx="6">
                  <c:v>ASME CC 2286-2 (FS - 1.0)</c:v>
                </c:pt>
                <c:pt idx="7">
                  <c:v>ASME CC 2286-2 (FS - 2.0)</c:v>
                </c:pt>
              </c:strCache>
            </c:strRef>
          </c:cat>
          <c:val>
            <c:numRef>
              <c:f>'Extension 2 (Ply Optimization)'!$E$4:$E$11</c:f>
              <c:numCache>
                <c:formatCode>0.00</c:formatCode>
                <c:ptCount val="8"/>
                <c:pt idx="0">
                  <c:v>43.472200000000001</c:v>
                </c:pt>
                <c:pt idx="1">
                  <c:v>35.876199999999997</c:v>
                </c:pt>
                <c:pt idx="2">
                  <c:v>38.917000000000002</c:v>
                </c:pt>
                <c:pt idx="3">
                  <c:v>42.451099999999997</c:v>
                </c:pt>
                <c:pt idx="4">
                  <c:v>45.941400000000002</c:v>
                </c:pt>
                <c:pt idx="5">
                  <c:v>47.354100000000003</c:v>
                </c:pt>
                <c:pt idx="6" formatCode="General">
                  <c:v>32.549999999999997</c:v>
                </c:pt>
                <c:pt idx="7" formatCode="General">
                  <c:v>16.27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6-43D6-AFE0-6E112B83B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521119"/>
        <c:axId val="1224516799"/>
      </c:barChart>
      <c:catAx>
        <c:axId val="122452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16799"/>
        <c:crosses val="autoZero"/>
        <c:auto val="1"/>
        <c:lblAlgn val="ctr"/>
        <c:lblOffset val="100"/>
        <c:noMultiLvlLbl val="0"/>
      </c:catAx>
      <c:valAx>
        <c:axId val="1224516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Force</a:t>
                </a:r>
                <a:r>
                  <a:rPr lang="en-MY" baseline="0"/>
                  <a:t> (kN)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2111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'Extension 2 (Ply Optimization)'!$G$4:$G$11</c:f>
              <c:strCache>
                <c:ptCount val="8"/>
                <c:pt idx="0">
                  <c:v>Opt-Base</c:v>
                </c:pt>
                <c:pt idx="1">
                  <c:v>Opt-15</c:v>
                </c:pt>
                <c:pt idx="2">
                  <c:v>Opt-30</c:v>
                </c:pt>
                <c:pt idx="3">
                  <c:v>Opt-45</c:v>
                </c:pt>
                <c:pt idx="4">
                  <c:v>Opt-60</c:v>
                </c:pt>
                <c:pt idx="5">
                  <c:v>Opt-75</c:v>
                </c:pt>
                <c:pt idx="6">
                  <c:v>ASME CC 2286-2 (FS - 1.0)</c:v>
                </c:pt>
                <c:pt idx="7">
                  <c:v>ASME CC 2286-2 (FS - 2.0)</c:v>
                </c:pt>
              </c:strCache>
            </c:strRef>
          </c:cat>
          <c:val>
            <c:numRef>
              <c:f>'Extension 2 (Ply Optimization)'!$J$4:$J$11</c:f>
              <c:numCache>
                <c:formatCode>0.00</c:formatCode>
                <c:ptCount val="8"/>
                <c:pt idx="0">
                  <c:v>109.64400000000001</c:v>
                </c:pt>
                <c:pt idx="1">
                  <c:v>110.545</c:v>
                </c:pt>
                <c:pt idx="2">
                  <c:v>107.962</c:v>
                </c:pt>
                <c:pt idx="3">
                  <c:v>109.071</c:v>
                </c:pt>
                <c:pt idx="4">
                  <c:v>115.087</c:v>
                </c:pt>
                <c:pt idx="5">
                  <c:v>120.26900000000001</c:v>
                </c:pt>
                <c:pt idx="6" formatCode="General">
                  <c:v>55.2</c:v>
                </c:pt>
                <c:pt idx="7" formatCode="General">
                  <c:v>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10-4D5E-8A82-49356D4816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4521119"/>
        <c:axId val="1224516799"/>
      </c:barChart>
      <c:catAx>
        <c:axId val="122452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16799"/>
        <c:crosses val="autoZero"/>
        <c:auto val="1"/>
        <c:lblAlgn val="ctr"/>
        <c:lblOffset val="100"/>
        <c:noMultiLvlLbl val="0"/>
      </c:catAx>
      <c:valAx>
        <c:axId val="1224516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Force</a:t>
                </a:r>
                <a:r>
                  <a:rPr lang="en-MY" baseline="0"/>
                  <a:t> (kN)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2111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2700" cap="flat" cmpd="sng" algn="ctr">
              <a:solidFill>
                <a:schemeClr val="dk1"/>
              </a:solidFill>
              <a:prstDash val="lgDash"/>
              <a:miter lim="800000"/>
            </a:ln>
            <a:effectLst/>
          </c:spPr>
          <c:marker>
            <c:symbol val="none"/>
          </c:marker>
          <c:xVal>
            <c:numRef>
              <c:f>'Extension 2 (Ply Optimization)'!$N$12:$R$12</c:f>
              <c:numCache>
                <c:formatCode>General</c:formatCode>
                <c:ptCount val="5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</c:numCache>
            </c:numRef>
          </c:xVal>
          <c:yVal>
            <c:numRef>
              <c:f>'Extension 2 (Ply Optimization)'!$N$15:$R$15</c:f>
              <c:numCache>
                <c:formatCode>General</c:formatCode>
                <c:ptCount val="5"/>
                <c:pt idx="0">
                  <c:v>1</c:v>
                </c:pt>
                <c:pt idx="1">
                  <c:v>0.98530051926246065</c:v>
                </c:pt>
                <c:pt idx="2">
                  <c:v>0.96812132707316312</c:v>
                </c:pt>
                <c:pt idx="3">
                  <c:v>0.93489785765367994</c:v>
                </c:pt>
                <c:pt idx="4">
                  <c:v>0.8360047884083206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4C-474D-A76B-4EBE6DAD1AC2}"/>
            </c:ext>
          </c:extLst>
        </c:ser>
        <c:ser>
          <c:idx val="1"/>
          <c:order val="1"/>
          <c:spPr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none"/>
          </c:marker>
          <c:xVal>
            <c:numRef>
              <c:f>'Extension 2 (Ply Optimization)'!$N$6:$R$6</c:f>
              <c:numCache>
                <c:formatCode>General</c:formatCode>
                <c:ptCount val="5"/>
                <c:pt idx="0">
                  <c:v>0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</c:numCache>
            </c:numRef>
          </c:xVal>
          <c:yVal>
            <c:numRef>
              <c:f>'Extension 2 (Ply Optimization)'!$N$9:$R$9</c:f>
              <c:numCache>
                <c:formatCode>General</c:formatCode>
                <c:ptCount val="5"/>
                <c:pt idx="0">
                  <c:v>1</c:v>
                </c:pt>
                <c:pt idx="1">
                  <c:v>0.83760674871782681</c:v>
                </c:pt>
                <c:pt idx="2">
                  <c:v>0.73011665844570306</c:v>
                </c:pt>
                <c:pt idx="3">
                  <c:v>0.7035475934366997</c:v>
                </c:pt>
                <c:pt idx="4">
                  <c:v>0.62771514658077254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4C-474D-A76B-4EBE6DAD1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64143"/>
        <c:axId val="109061263"/>
      </c:scatterChart>
      <c:valAx>
        <c:axId val="109064143"/>
        <c:scaling>
          <c:orientation val="minMax"/>
          <c:max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i="1"/>
                  <a:t>a/t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61263"/>
        <c:crosses val="autoZero"/>
        <c:crossBetween val="midCat"/>
      </c:valAx>
      <c:valAx>
        <c:axId val="109061263"/>
        <c:scaling>
          <c:orientation val="minMax"/>
          <c:min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KDF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6414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679823</xdr:colOff>
      <xdr:row>8</xdr:row>
      <xdr:rowOff>92636</xdr:rowOff>
    </xdr:from>
    <xdr:to>
      <xdr:col>10</xdr:col>
      <xdr:colOff>513522</xdr:colOff>
      <xdr:row>23</xdr:row>
      <xdr:rowOff>143565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C1EEB-4459-FE46-E827-C6FCAFB29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681717</xdr:colOff>
      <xdr:row>14</xdr:row>
      <xdr:rowOff>45357</xdr:rowOff>
    </xdr:from>
    <xdr:to>
      <xdr:col>17</xdr:col>
      <xdr:colOff>18142</xdr:colOff>
      <xdr:row>33</xdr:row>
      <xdr:rowOff>22412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AD870B-92DD-52DA-5CA3-96F02E111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261658</xdr:colOff>
      <xdr:row>33</xdr:row>
      <xdr:rowOff>70224</xdr:rowOff>
    </xdr:from>
    <xdr:to>
      <xdr:col>9</xdr:col>
      <xdr:colOff>261471</xdr:colOff>
      <xdr:row>48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0BB673-836A-7144-C26F-C5C008DFA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305762</xdr:colOff>
      <xdr:row>9</xdr:row>
      <xdr:rowOff>154534</xdr:rowOff>
    </xdr:from>
    <xdr:to>
      <xdr:col>23</xdr:col>
      <xdr:colOff>686762</xdr:colOff>
      <xdr:row>23</xdr:row>
      <xdr:rowOff>44503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7DD720-95D3-34CF-F5BE-0E443CAA5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25078</xdr:colOff>
      <xdr:row>47</xdr:row>
      <xdr:rowOff>82495</xdr:rowOff>
    </xdr:from>
    <xdr:to>
      <xdr:col>28</xdr:col>
      <xdr:colOff>42688</xdr:colOff>
      <xdr:row>63</xdr:row>
      <xdr:rowOff>15686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A2B371-E112-3ACD-CE0A-E65000170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95250</xdr:colOff>
      <xdr:row>26</xdr:row>
      <xdr:rowOff>2724</xdr:rowOff>
    </xdr:from>
    <xdr:to>
      <xdr:col>24</xdr:col>
      <xdr:colOff>426357</xdr:colOff>
      <xdr:row>43</xdr:row>
      <xdr:rowOff>172359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F66773-47A6-4E31-9830-3AF4CFA26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149678</xdr:colOff>
      <xdr:row>25</xdr:row>
      <xdr:rowOff>29936</xdr:rowOff>
    </xdr:from>
    <xdr:to>
      <xdr:col>46</xdr:col>
      <xdr:colOff>1097035</xdr:colOff>
      <xdr:row>43</xdr:row>
      <xdr:rowOff>18621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94D4C7-8481-A34E-BF20-87960775C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122464</xdr:colOff>
      <xdr:row>8</xdr:row>
      <xdr:rowOff>102507</xdr:rowOff>
    </xdr:from>
    <xdr:to>
      <xdr:col>46</xdr:col>
      <xdr:colOff>1105821</xdr:colOff>
      <xdr:row>24</xdr:row>
      <xdr:rowOff>127478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0622FE-9CAA-2D6C-230A-6DA2CAAB6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545539</xdr:colOff>
      <xdr:row>2</xdr:row>
      <xdr:rowOff>162483</xdr:rowOff>
    </xdr:from>
    <xdr:to>
      <xdr:col>38</xdr:col>
      <xdr:colOff>237752</xdr:colOff>
      <xdr:row>17</xdr:row>
      <xdr:rowOff>87404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CCF3B7-E6EF-ECFF-729C-B147C6477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44822</xdr:colOff>
      <xdr:row>2</xdr:row>
      <xdr:rowOff>271930</xdr:rowOff>
    </xdr:from>
    <xdr:to>
      <xdr:col>29</xdr:col>
      <xdr:colOff>328705</xdr:colOff>
      <xdr:row>17</xdr:row>
      <xdr:rowOff>49306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22858C-162B-C8AC-B371-EAF1182CA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530678</xdr:colOff>
      <xdr:row>3</xdr:row>
      <xdr:rowOff>11792</xdr:rowOff>
    </xdr:from>
    <xdr:to>
      <xdr:col>46</xdr:col>
      <xdr:colOff>385536</xdr:colOff>
      <xdr:row>16</xdr:row>
      <xdr:rowOff>51707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669437-BE40-8CC2-978E-B79B0505E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630464</xdr:colOff>
      <xdr:row>17</xdr:row>
      <xdr:rowOff>20864</xdr:rowOff>
    </xdr:from>
    <xdr:to>
      <xdr:col>46</xdr:col>
      <xdr:colOff>485322</xdr:colOff>
      <xdr:row>31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5083FE-9384-FB1B-E4AF-EC9CA4E0A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113394</xdr:colOff>
      <xdr:row>2</xdr:row>
      <xdr:rowOff>120650</xdr:rowOff>
    </xdr:from>
    <xdr:to>
      <xdr:col>39</xdr:col>
      <xdr:colOff>494394</xdr:colOff>
      <xdr:row>15</xdr:row>
      <xdr:rowOff>160564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ED67C6-9E73-1B5B-264E-18C110A39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122463</xdr:colOff>
      <xdr:row>15</xdr:row>
      <xdr:rowOff>102506</xdr:rowOff>
    </xdr:from>
    <xdr:to>
      <xdr:col>39</xdr:col>
      <xdr:colOff>503463</xdr:colOff>
      <xdr:row>29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E80A67-2663-AE89-5E9D-D166EDA7E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72572</xdr:colOff>
      <xdr:row>3</xdr:row>
      <xdr:rowOff>75291</xdr:rowOff>
    </xdr:from>
    <xdr:to>
      <xdr:col>17</xdr:col>
      <xdr:colOff>158750</xdr:colOff>
      <xdr:row>17</xdr:row>
      <xdr:rowOff>72570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EFC37D-E98B-D223-92C0-C4F25F0E5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45359</xdr:colOff>
      <xdr:row>16</xdr:row>
      <xdr:rowOff>95250</xdr:rowOff>
    </xdr:from>
    <xdr:to>
      <xdr:col>17</xdr:col>
      <xdr:colOff>131537</xdr:colOff>
      <xdr:row>34</xdr:row>
      <xdr:rowOff>24493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CEB390-EFD2-4BAB-9E24-12CCD9091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492125</xdr:colOff>
      <xdr:row>12</xdr:row>
      <xdr:rowOff>127000</xdr:rowOff>
    </xdr:from>
    <xdr:to>
      <xdr:col>8</xdr:col>
      <xdr:colOff>2371725</xdr:colOff>
      <xdr:row>22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8B51ED-E260-94B8-2646-E70FDAA75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450850</xdr:colOff>
      <xdr:row>23</xdr:row>
      <xdr:rowOff>19050</xdr:rowOff>
    </xdr:from>
    <xdr:to>
      <xdr:col>8</xdr:col>
      <xdr:colOff>2330450</xdr:colOff>
      <xdr:row>38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0B0D6F-49C8-494D-81C8-9D64730D9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390525</xdr:colOff>
      <xdr:row>15</xdr:row>
      <xdr:rowOff>165100</xdr:rowOff>
    </xdr:from>
    <xdr:to>
      <xdr:col>18</xdr:col>
      <xdr:colOff>85725</xdr:colOff>
      <xdr:row>25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5B0D1D-52E5-639E-42A3-AF920687C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BF0B-04C7-4FBA-B42D-66E957D0B190}">
  <dimension ref="C2:N33"/>
  <sheetViews>
    <sheetView topLeftCell="B1" zoomScale="85" zoomScaleNormal="85" workbookViewId="0">
      <selection activeCell="I3" sqref="I3"/>
    </sheetView>
  </sheetViews>
  <sheetFormatPr defaultRowHeight="14.5"/>
  <cols>
    <col min="1" max="2" width="8.7265625" style="1"/>
    <col min="3" max="3" width="11.08984375" style="1" customWidth="1"/>
    <col min="4" max="4" width="11.08984375" style="1" hidden="1" customWidth="1"/>
    <col min="5" max="9" width="11.90625" style="1" customWidth="1"/>
    <col min="10" max="14" width="13.26953125" style="1" customWidth="1"/>
    <col min="15" max="16384" width="8.7265625" style="1"/>
  </cols>
  <sheetData>
    <row r="2" spans="3:14">
      <c r="C2" s="3" t="s">
        <v>0</v>
      </c>
      <c r="D2" s="3" t="s">
        <v>19</v>
      </c>
      <c r="E2" s="3" t="s">
        <v>6</v>
      </c>
      <c r="F2" s="3" t="s">
        <v>7</v>
      </c>
      <c r="G2" s="3" t="s">
        <v>1</v>
      </c>
      <c r="H2" s="3" t="s">
        <v>18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20</v>
      </c>
      <c r="N2" s="3" t="s">
        <v>21</v>
      </c>
    </row>
    <row r="3" spans="3:14">
      <c r="C3" s="3" t="s">
        <v>14</v>
      </c>
      <c r="D3" s="6">
        <v>102.02</v>
      </c>
      <c r="E3" s="3">
        <f>D3/2</f>
        <v>51.01</v>
      </c>
      <c r="F3" s="6">
        <v>0.5</v>
      </c>
      <c r="G3" s="4">
        <f>E3/F3</f>
        <v>102.02</v>
      </c>
      <c r="H3" s="3">
        <v>193.7</v>
      </c>
      <c r="I3" s="3">
        <v>203.1</v>
      </c>
      <c r="J3" s="4">
        <v>30.13</v>
      </c>
      <c r="K3" s="4">
        <v>32.1999</v>
      </c>
      <c r="L3" s="4">
        <v>32.549999999999997</v>
      </c>
      <c r="M3" s="7">
        <f>K3/J3</f>
        <v>1.0686989711251245</v>
      </c>
      <c r="N3" s="7">
        <f>L3/J3</f>
        <v>1.0803186193162959</v>
      </c>
    </row>
    <row r="4" spans="3:14">
      <c r="C4" s="3" t="s">
        <v>13</v>
      </c>
      <c r="D4" s="6">
        <v>101.54</v>
      </c>
      <c r="E4" s="3">
        <f t="shared" ref="E4:E7" si="0">D4/2</f>
        <v>50.77</v>
      </c>
      <c r="F4" s="6">
        <v>1.02</v>
      </c>
      <c r="G4" s="4">
        <f t="shared" ref="G4:G7" si="1">E4/F4</f>
        <v>49.774509803921568</v>
      </c>
      <c r="H4" s="3">
        <v>214</v>
      </c>
      <c r="I4" s="3">
        <v>256.2</v>
      </c>
      <c r="J4" s="4">
        <v>84.67</v>
      </c>
      <c r="K4" s="4">
        <v>83.025199999999998</v>
      </c>
      <c r="L4" s="4">
        <v>83.36</v>
      </c>
      <c r="M4" s="7">
        <f t="shared" ref="M4:M7" si="2">K4/J4</f>
        <v>0.98057399314987592</v>
      </c>
      <c r="N4" s="7">
        <f t="shared" ref="N4:N7" si="3">L4/J4</f>
        <v>0.984528168182355</v>
      </c>
    </row>
    <row r="5" spans="3:14">
      <c r="C5" s="3" t="s">
        <v>15</v>
      </c>
      <c r="D5" s="6">
        <v>102.07</v>
      </c>
      <c r="E5" s="3">
        <f t="shared" si="0"/>
        <v>51.034999999999997</v>
      </c>
      <c r="F5" s="6">
        <v>1.08</v>
      </c>
      <c r="G5" s="4">
        <f t="shared" si="1"/>
        <v>47.254629629629626</v>
      </c>
      <c r="H5" s="3">
        <v>214</v>
      </c>
      <c r="I5" s="3">
        <v>256.2</v>
      </c>
      <c r="J5" s="4">
        <v>85.33</v>
      </c>
      <c r="K5" s="4">
        <v>88.249300000000005</v>
      </c>
      <c r="L5" s="4">
        <v>88.73</v>
      </c>
      <c r="M5" s="7">
        <f t="shared" si="2"/>
        <v>1.0342118832766907</v>
      </c>
      <c r="N5" s="7">
        <f t="shared" si="3"/>
        <v>1.0398453064572835</v>
      </c>
    </row>
    <row r="6" spans="3:14">
      <c r="C6" s="3" t="s">
        <v>16</v>
      </c>
      <c r="D6" s="6">
        <v>101.73</v>
      </c>
      <c r="E6" s="3">
        <f t="shared" si="0"/>
        <v>50.865000000000002</v>
      </c>
      <c r="F6" s="6">
        <v>2.02</v>
      </c>
      <c r="G6" s="4">
        <f t="shared" si="1"/>
        <v>25.18069306930693</v>
      </c>
      <c r="H6" s="3">
        <v>241.4</v>
      </c>
      <c r="I6" s="3">
        <v>322.10000000000002</v>
      </c>
      <c r="J6" s="4">
        <v>210.32</v>
      </c>
      <c r="K6" s="4">
        <v>208.00800000000001</v>
      </c>
      <c r="L6" s="4">
        <v>207.97</v>
      </c>
      <c r="M6" s="7">
        <f t="shared" si="2"/>
        <v>0.98900722708254096</v>
      </c>
      <c r="N6" s="7">
        <f t="shared" si="3"/>
        <v>0.98882655001901865</v>
      </c>
    </row>
    <row r="7" spans="3:14">
      <c r="C7" s="3" t="s">
        <v>17</v>
      </c>
      <c r="D7" s="6">
        <v>102.02</v>
      </c>
      <c r="E7" s="3">
        <f t="shared" si="0"/>
        <v>51.01</v>
      </c>
      <c r="F7" s="6">
        <v>2.02</v>
      </c>
      <c r="G7" s="4">
        <f t="shared" si="1"/>
        <v>25.25247524752475</v>
      </c>
      <c r="H7" s="3">
        <v>241.4</v>
      </c>
      <c r="I7" s="3">
        <v>322.10000000000002</v>
      </c>
      <c r="J7" s="4">
        <v>208.56</v>
      </c>
      <c r="K7" s="4">
        <v>208.6</v>
      </c>
      <c r="L7" s="4">
        <v>208.53</v>
      </c>
      <c r="M7" s="7">
        <f t="shared" si="2"/>
        <v>1.0001917913310319</v>
      </c>
      <c r="N7" s="7">
        <f t="shared" si="3"/>
        <v>0.9998561565017261</v>
      </c>
    </row>
    <row r="9" spans="3:14">
      <c r="C9" s="1">
        <f>E3*2</f>
        <v>102.02</v>
      </c>
    </row>
    <row r="28" spans="5:10" ht="42">
      <c r="E28" s="34" t="s">
        <v>0</v>
      </c>
      <c r="F28" s="34" t="s">
        <v>151</v>
      </c>
      <c r="G28" s="34" t="s">
        <v>152</v>
      </c>
      <c r="H28" s="34" t="s">
        <v>153</v>
      </c>
      <c r="I28" s="34" t="s">
        <v>155</v>
      </c>
      <c r="J28" s="34" t="s">
        <v>154</v>
      </c>
    </row>
    <row r="29" spans="5:10">
      <c r="E29" s="34" t="s">
        <v>14</v>
      </c>
      <c r="F29" s="34">
        <v>30.13</v>
      </c>
      <c r="G29" s="34">
        <v>32.200000000000003</v>
      </c>
      <c r="H29" s="34">
        <v>32.549999999999997</v>
      </c>
      <c r="I29" s="46">
        <v>6.8699999999999997E-2</v>
      </c>
      <c r="J29" s="46">
        <v>8.0299999999999996E-2</v>
      </c>
    </row>
    <row r="30" spans="5:10">
      <c r="E30" s="34" t="s">
        <v>13</v>
      </c>
      <c r="F30" s="34">
        <v>84.67</v>
      </c>
      <c r="G30" s="34">
        <v>83.03</v>
      </c>
      <c r="H30" s="34">
        <v>83.36</v>
      </c>
      <c r="I30" s="46">
        <v>-1.9400000000000001E-2</v>
      </c>
      <c r="J30" s="46">
        <v>-1.55E-2</v>
      </c>
    </row>
    <row r="31" spans="5:10">
      <c r="E31" s="34" t="s">
        <v>15</v>
      </c>
      <c r="F31" s="34">
        <v>85.33</v>
      </c>
      <c r="G31" s="34">
        <v>88.25</v>
      </c>
      <c r="H31" s="34">
        <v>88.73</v>
      </c>
      <c r="I31" s="46">
        <v>3.4200000000000001E-2</v>
      </c>
      <c r="J31" s="46">
        <v>3.9800000000000002E-2</v>
      </c>
    </row>
    <row r="32" spans="5:10">
      <c r="E32" s="34" t="s">
        <v>16</v>
      </c>
      <c r="F32" s="34">
        <v>210.32</v>
      </c>
      <c r="G32" s="34">
        <v>208.01</v>
      </c>
      <c r="H32" s="34">
        <v>207.97</v>
      </c>
      <c r="I32" s="46">
        <v>-1.0999999999999999E-2</v>
      </c>
      <c r="J32" s="46">
        <v>-1.12E-2</v>
      </c>
    </row>
    <row r="33" spans="5:10">
      <c r="E33" s="34" t="s">
        <v>17</v>
      </c>
      <c r="F33" s="34">
        <v>208.56</v>
      </c>
      <c r="G33" s="34">
        <v>208.6</v>
      </c>
      <c r="H33" s="34">
        <v>208.53</v>
      </c>
      <c r="I33" s="46">
        <v>2.0000000000000001E-4</v>
      </c>
      <c r="J33" s="46">
        <v>-1E-4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7222-576C-40F1-B5EF-F5216FB094EF}">
  <dimension ref="C2:AU80"/>
  <sheetViews>
    <sheetView showGridLines="0" tabSelected="1" topLeftCell="A29" zoomScale="70" zoomScaleNormal="70" workbookViewId="0">
      <selection activeCell="T48" sqref="T48"/>
    </sheetView>
  </sheetViews>
  <sheetFormatPr defaultRowHeight="14.5"/>
  <cols>
    <col min="1" max="10" width="8.7265625" style="1"/>
    <col min="11" max="11" width="8" style="1" bestFit="1" customWidth="1"/>
    <col min="12" max="12" width="10.54296875" style="1" bestFit="1" customWidth="1"/>
    <col min="13" max="13" width="7.7265625" style="1" customWidth="1"/>
    <col min="14" max="14" width="7.36328125" style="1" customWidth="1"/>
    <col min="15" max="15" width="7.453125" style="1" bestFit="1" customWidth="1"/>
    <col min="16" max="17" width="7.453125" style="1" customWidth="1"/>
    <col min="18" max="18" width="13.54296875" style="1" customWidth="1"/>
    <col min="19" max="19" width="8.08984375" style="1" customWidth="1"/>
    <col min="20" max="20" width="30.36328125" style="1" customWidth="1"/>
    <col min="21" max="23" width="8.7265625" style="1"/>
    <col min="24" max="26" width="13.453125" style="1" customWidth="1"/>
    <col min="27" max="27" width="8.7265625" style="1"/>
    <col min="28" max="28" width="7" style="1" customWidth="1"/>
    <col min="29" max="31" width="18.08984375" style="1" customWidth="1"/>
    <col min="32" max="38" width="8.7265625" style="1"/>
    <col min="39" max="39" width="12.453125" style="1" bestFit="1" customWidth="1"/>
    <col min="40" max="43" width="8.7265625" style="1"/>
    <col min="44" max="45" width="14.08984375" style="1" customWidth="1"/>
    <col min="46" max="46" width="15.453125" style="1" bestFit="1" customWidth="1"/>
    <col min="47" max="47" width="28.81640625" style="1" customWidth="1"/>
    <col min="48" max="50" width="8.7265625" style="1"/>
    <col min="51" max="51" width="8.7265625" style="1" customWidth="1"/>
    <col min="52" max="16384" width="8.7265625" style="1"/>
  </cols>
  <sheetData>
    <row r="2" spans="3:47" ht="28">
      <c r="C2" s="11" t="s">
        <v>1</v>
      </c>
      <c r="D2" s="11">
        <v>102.02</v>
      </c>
      <c r="E2" s="11"/>
      <c r="F2" s="11"/>
      <c r="G2" s="11"/>
      <c r="H2" s="11"/>
      <c r="K2" s="9" t="s">
        <v>24</v>
      </c>
      <c r="L2" s="9" t="s">
        <v>25</v>
      </c>
      <c r="M2" s="9" t="s">
        <v>6</v>
      </c>
      <c r="N2" s="9" t="s">
        <v>47</v>
      </c>
      <c r="O2" s="9" t="s">
        <v>48</v>
      </c>
      <c r="P2" s="9" t="s">
        <v>45</v>
      </c>
      <c r="Q2" s="9" t="s">
        <v>1</v>
      </c>
      <c r="R2" s="9" t="s">
        <v>46</v>
      </c>
      <c r="S2" s="9" t="s">
        <v>22</v>
      </c>
      <c r="T2" s="10" t="s">
        <v>26</v>
      </c>
      <c r="AB2" s="17"/>
      <c r="AC2" s="18" t="s">
        <v>49</v>
      </c>
      <c r="AD2" s="19" t="s">
        <v>50</v>
      </c>
      <c r="AE2" s="19" t="s">
        <v>51</v>
      </c>
      <c r="AP2" s="28" t="s">
        <v>24</v>
      </c>
      <c r="AQ2" s="28" t="s">
        <v>1</v>
      </c>
      <c r="AR2" s="28" t="s">
        <v>66</v>
      </c>
      <c r="AS2" s="28" t="s">
        <v>67</v>
      </c>
      <c r="AT2" s="28" t="s">
        <v>52</v>
      </c>
      <c r="AU2" s="28" t="s">
        <v>53</v>
      </c>
    </row>
    <row r="3" spans="3:47" ht="20" customHeight="1">
      <c r="C3" s="8" t="s">
        <v>27</v>
      </c>
      <c r="D3" s="11"/>
      <c r="E3" s="11"/>
      <c r="F3" s="11"/>
      <c r="G3" s="11"/>
      <c r="H3" s="11"/>
      <c r="K3" s="9" t="s">
        <v>27</v>
      </c>
      <c r="L3" s="9" t="s">
        <v>28</v>
      </c>
      <c r="M3" s="9">
        <v>51.01</v>
      </c>
      <c r="N3" s="9">
        <v>0.5</v>
      </c>
      <c r="O3" s="9">
        <v>0</v>
      </c>
      <c r="P3" s="9" t="s">
        <v>29</v>
      </c>
      <c r="Q3" s="9">
        <f>M3/(N3+O3)</f>
        <v>102.02</v>
      </c>
      <c r="R3" s="9" t="s">
        <v>29</v>
      </c>
      <c r="S3" s="16">
        <v>32.1999</v>
      </c>
      <c r="T3" s="10" t="s">
        <v>30</v>
      </c>
      <c r="X3" s="1">
        <f>0.25/8</f>
        <v>3.125E-2</v>
      </c>
      <c r="AB3" s="20" t="s">
        <v>27</v>
      </c>
      <c r="AC3" s="21">
        <v>25.267900000000001</v>
      </c>
      <c r="AD3" s="21">
        <v>32.1999</v>
      </c>
      <c r="AE3" s="21">
        <v>14.9937</v>
      </c>
      <c r="AP3" s="28" t="s">
        <v>27</v>
      </c>
      <c r="AQ3" s="29">
        <v>100</v>
      </c>
      <c r="AR3" s="29">
        <v>32.200000000000003</v>
      </c>
      <c r="AS3" s="29">
        <v>14.994</v>
      </c>
      <c r="AT3" s="30">
        <v>0.46560000000000001</v>
      </c>
      <c r="AU3" s="29" t="s">
        <v>54</v>
      </c>
    </row>
    <row r="4" spans="3:47" ht="20" customHeight="1">
      <c r="C4" s="13" t="s">
        <v>22</v>
      </c>
      <c r="D4" s="12">
        <v>32.1999</v>
      </c>
      <c r="E4" s="13">
        <v>35.398499999999999</v>
      </c>
      <c r="F4" s="13">
        <v>37.465600000000002</v>
      </c>
      <c r="G4" s="13">
        <v>36.134599999999999</v>
      </c>
      <c r="H4" s="13">
        <v>0</v>
      </c>
      <c r="K4" s="9" t="s">
        <v>31</v>
      </c>
      <c r="L4" s="9" t="s">
        <v>32</v>
      </c>
      <c r="M4" s="9">
        <v>51.01</v>
      </c>
      <c r="N4" s="9">
        <v>0.25</v>
      </c>
      <c r="O4" s="9">
        <v>0.25</v>
      </c>
      <c r="P4" s="9">
        <v>6.25E-2</v>
      </c>
      <c r="Q4" s="9">
        <f t="shared" ref="Q4:Q8" si="0">M4/(N4+O4)</f>
        <v>102.02</v>
      </c>
      <c r="R4" s="9" t="s">
        <v>41</v>
      </c>
      <c r="S4" s="3">
        <v>31.9422</v>
      </c>
      <c r="T4" s="10" t="s">
        <v>42</v>
      </c>
      <c r="AB4" s="20" t="s">
        <v>31</v>
      </c>
      <c r="AC4" s="22">
        <v>16.367599999999999</v>
      </c>
      <c r="AD4" s="21">
        <v>31.9422</v>
      </c>
      <c r="AE4" s="21">
        <v>33.0565</v>
      </c>
      <c r="AP4" s="28" t="s">
        <v>31</v>
      </c>
      <c r="AQ4" s="29">
        <v>100</v>
      </c>
      <c r="AR4" s="29">
        <v>31.942</v>
      </c>
      <c r="AS4" s="29">
        <v>33.057000000000002</v>
      </c>
      <c r="AT4" s="30">
        <v>1.0348999999999999</v>
      </c>
      <c r="AU4" s="29" t="s">
        <v>68</v>
      </c>
    </row>
    <row r="5" spans="3:47" ht="20" customHeight="1">
      <c r="C5" s="13" t="s">
        <v>23</v>
      </c>
      <c r="D5" s="13">
        <v>0</v>
      </c>
      <c r="E5" s="13">
        <v>0.49928499999999998</v>
      </c>
      <c r="F5" s="13">
        <v>0.99856999999999996</v>
      </c>
      <c r="G5" s="13">
        <v>1.493805</v>
      </c>
      <c r="H5" s="13">
        <v>1.9971399999999999</v>
      </c>
      <c r="K5" s="9" t="s">
        <v>33</v>
      </c>
      <c r="L5" s="9" t="s">
        <v>32</v>
      </c>
      <c r="M5" s="9">
        <v>51.01</v>
      </c>
      <c r="N5" s="9">
        <v>0.25</v>
      </c>
      <c r="O5" s="9">
        <v>0.25</v>
      </c>
      <c r="P5" s="9">
        <v>2.5000000000000001E-2</v>
      </c>
      <c r="Q5" s="9">
        <f t="shared" si="0"/>
        <v>102.02</v>
      </c>
      <c r="R5" s="9" t="s">
        <v>43</v>
      </c>
      <c r="S5" s="9">
        <v>38.731900000000003</v>
      </c>
      <c r="T5" s="10" t="s">
        <v>44</v>
      </c>
      <c r="AB5" s="20" t="s">
        <v>33</v>
      </c>
      <c r="AC5" s="21">
        <v>19.001999999999999</v>
      </c>
      <c r="AD5" s="21">
        <v>38.731900000000003</v>
      </c>
      <c r="AE5" s="21">
        <v>21.283100000000001</v>
      </c>
      <c r="AP5" s="28" t="s">
        <v>33</v>
      </c>
      <c r="AQ5" s="29">
        <v>100</v>
      </c>
      <c r="AR5" s="29">
        <v>38.731999999999999</v>
      </c>
      <c r="AS5" s="29">
        <v>21.283000000000001</v>
      </c>
      <c r="AT5" s="30">
        <v>0.54949999999999999</v>
      </c>
      <c r="AU5" s="29" t="s">
        <v>55</v>
      </c>
    </row>
    <row r="6" spans="3:47" ht="20" customHeight="1">
      <c r="C6" s="13" t="s">
        <v>38</v>
      </c>
      <c r="D6" s="13">
        <f>D4/$D$4</f>
        <v>1</v>
      </c>
      <c r="E6" s="13">
        <f t="shared" ref="E6:H6" si="1">E4/$D$4</f>
        <v>1.0993357122227088</v>
      </c>
      <c r="F6" s="13">
        <f t="shared" si="1"/>
        <v>1.1635315637626205</v>
      </c>
      <c r="G6" s="13">
        <f t="shared" si="1"/>
        <v>1.1221960316646946</v>
      </c>
      <c r="H6" s="13">
        <f t="shared" si="1"/>
        <v>0</v>
      </c>
      <c r="K6" s="9" t="s">
        <v>34</v>
      </c>
      <c r="L6" s="9" t="s">
        <v>28</v>
      </c>
      <c r="M6" s="9">
        <v>300</v>
      </c>
      <c r="N6" s="9">
        <v>0.5</v>
      </c>
      <c r="O6" s="9">
        <v>0</v>
      </c>
      <c r="P6" s="9" t="s">
        <v>29</v>
      </c>
      <c r="Q6" s="9">
        <f t="shared" si="0"/>
        <v>600</v>
      </c>
      <c r="R6" s="9" t="s">
        <v>29</v>
      </c>
      <c r="S6" s="9">
        <v>160.46899999999999</v>
      </c>
      <c r="T6" s="10" t="s">
        <v>35</v>
      </c>
      <c r="AP6" s="28" t="s">
        <v>34</v>
      </c>
      <c r="AQ6" s="29">
        <v>600</v>
      </c>
      <c r="AR6" s="29">
        <v>160.46899999999999</v>
      </c>
      <c r="AS6" s="29">
        <v>149.233</v>
      </c>
      <c r="AT6" s="30">
        <v>0.92989999999999995</v>
      </c>
      <c r="AU6" s="29" t="s">
        <v>56</v>
      </c>
    </row>
    <row r="7" spans="3:47" ht="20" customHeight="1">
      <c r="C7" s="13" t="s">
        <v>39</v>
      </c>
      <c r="D7" s="13">
        <f>D5/$H$5</f>
        <v>0</v>
      </c>
      <c r="E7" s="13">
        <f t="shared" ref="E7:H7" si="2">E5/$H$5</f>
        <v>0.25</v>
      </c>
      <c r="F7" s="13">
        <f t="shared" si="2"/>
        <v>0.5</v>
      </c>
      <c r="G7" s="13">
        <f t="shared" si="2"/>
        <v>0.74797210010314752</v>
      </c>
      <c r="H7" s="13">
        <f t="shared" si="2"/>
        <v>1</v>
      </c>
      <c r="K7" s="9" t="s">
        <v>36</v>
      </c>
      <c r="L7" s="9" t="s">
        <v>32</v>
      </c>
      <c r="M7" s="9">
        <v>300</v>
      </c>
      <c r="N7" s="9">
        <v>0.25</v>
      </c>
      <c r="O7" s="9">
        <v>0.25</v>
      </c>
      <c r="P7" s="9">
        <v>3.125E-2</v>
      </c>
      <c r="Q7" s="9">
        <f>M7/(N7+O7)</f>
        <v>600</v>
      </c>
      <c r="R7" s="9" t="s">
        <v>41</v>
      </c>
      <c r="S7" s="9">
        <v>99.273899999999998</v>
      </c>
      <c r="T7" s="10" t="s">
        <v>42</v>
      </c>
      <c r="AB7" s="17"/>
      <c r="AC7" s="18" t="s">
        <v>49</v>
      </c>
      <c r="AD7" s="19" t="s">
        <v>50</v>
      </c>
      <c r="AE7" s="19" t="s">
        <v>51</v>
      </c>
      <c r="AP7" s="28" t="s">
        <v>36</v>
      </c>
      <c r="AQ7" s="29">
        <v>600</v>
      </c>
      <c r="AR7" s="29">
        <v>99.274000000000001</v>
      </c>
      <c r="AS7" s="29">
        <v>39.451000000000001</v>
      </c>
      <c r="AT7" s="30">
        <v>0.39739999999999998</v>
      </c>
      <c r="AU7" s="29" t="s">
        <v>57</v>
      </c>
    </row>
    <row r="8" spans="3:47" ht="20" customHeight="1">
      <c r="K8" s="9" t="s">
        <v>37</v>
      </c>
      <c r="L8" s="9" t="s">
        <v>32</v>
      </c>
      <c r="M8" s="9">
        <v>300</v>
      </c>
      <c r="N8" s="9">
        <v>0.25</v>
      </c>
      <c r="O8" s="9">
        <v>0.25</v>
      </c>
      <c r="P8" s="9">
        <v>2.5000000000000001E-2</v>
      </c>
      <c r="Q8" s="9">
        <f t="shared" si="0"/>
        <v>600</v>
      </c>
      <c r="R8" s="9" t="s">
        <v>43</v>
      </c>
      <c r="S8" s="9">
        <v>102.798</v>
      </c>
      <c r="T8" s="10" t="s">
        <v>44</v>
      </c>
      <c r="AB8" s="20" t="s">
        <v>34</v>
      </c>
      <c r="AC8" s="21">
        <v>139.78899999999999</v>
      </c>
      <c r="AD8" s="21">
        <v>160.46899999999999</v>
      </c>
      <c r="AE8" s="21">
        <v>149.233</v>
      </c>
      <c r="AP8" s="28" t="s">
        <v>37</v>
      </c>
      <c r="AQ8" s="29">
        <v>600</v>
      </c>
      <c r="AR8" s="29">
        <v>102.798</v>
      </c>
      <c r="AS8" s="29">
        <v>27.207999999999998</v>
      </c>
      <c r="AT8" s="30">
        <v>0.26469999999999999</v>
      </c>
      <c r="AU8" s="29" t="s">
        <v>58</v>
      </c>
    </row>
    <row r="9" spans="3:47" ht="19" customHeight="1">
      <c r="C9" s="8" t="s">
        <v>40</v>
      </c>
      <c r="D9" s="11"/>
      <c r="E9" s="11"/>
      <c r="F9" s="11"/>
      <c r="G9" s="11"/>
      <c r="H9" s="11"/>
      <c r="K9" s="14"/>
      <c r="L9" s="14"/>
      <c r="M9" s="14"/>
      <c r="N9" s="14"/>
      <c r="O9" s="14"/>
      <c r="P9" s="14"/>
      <c r="Q9" s="14"/>
      <c r="R9" s="14"/>
      <c r="S9" s="14"/>
      <c r="T9" s="15"/>
      <c r="AB9" s="20" t="s">
        <v>36</v>
      </c>
      <c r="AC9" s="20">
        <v>89.376300000000001</v>
      </c>
      <c r="AD9" s="20">
        <v>99.273899999999998</v>
      </c>
      <c r="AE9" s="21">
        <v>39.450699999999998</v>
      </c>
    </row>
    <row r="10" spans="3:47" ht="19" customHeight="1">
      <c r="C10" s="13" t="s">
        <v>22</v>
      </c>
      <c r="D10" s="12">
        <v>28.212227858163899</v>
      </c>
      <c r="E10" s="13">
        <v>28.471</v>
      </c>
      <c r="F10" s="13">
        <v>27.423999999999999</v>
      </c>
      <c r="G10" s="13">
        <v>25.754000000000001</v>
      </c>
      <c r="H10" s="13">
        <v>0</v>
      </c>
      <c r="K10" s="9" t="s">
        <v>27</v>
      </c>
      <c r="M10" s="14"/>
      <c r="N10" s="9" t="s">
        <v>31</v>
      </c>
      <c r="P10" s="14"/>
      <c r="Q10" s="9" t="s">
        <v>33</v>
      </c>
      <c r="S10" s="14"/>
      <c r="T10" s="15"/>
      <c r="AB10" s="20" t="s">
        <v>37</v>
      </c>
      <c r="AC10" s="21">
        <v>102.798</v>
      </c>
      <c r="AD10" s="21">
        <v>102.798</v>
      </c>
      <c r="AE10" s="21">
        <v>27.207599999999999</v>
      </c>
    </row>
    <row r="11" spans="3:47" ht="16" customHeight="1">
      <c r="C11" s="13" t="s">
        <v>23</v>
      </c>
      <c r="D11" s="13">
        <v>0</v>
      </c>
      <c r="E11" s="13">
        <v>0.21961449999999999</v>
      </c>
      <c r="F11" s="13">
        <v>0.43922899999999998</v>
      </c>
      <c r="G11" s="13">
        <v>0.65884350000000003</v>
      </c>
      <c r="H11" s="13">
        <v>0.87845802416895402</v>
      </c>
      <c r="K11" s="2" t="s">
        <v>8</v>
      </c>
      <c r="L11" s="2" t="s">
        <v>9</v>
      </c>
      <c r="N11" s="2" t="s">
        <v>8</v>
      </c>
      <c r="O11" s="2" t="s">
        <v>9</v>
      </c>
      <c r="Q11" s="2" t="s">
        <v>8</v>
      </c>
      <c r="R11" s="2" t="s">
        <v>9</v>
      </c>
    </row>
    <row r="12" spans="3:47" ht="16" customHeight="1">
      <c r="C12" s="13" t="s">
        <v>38</v>
      </c>
      <c r="D12" s="13">
        <f>D10/$D$4</f>
        <v>0.87615886565374113</v>
      </c>
      <c r="E12" s="13">
        <f t="shared" ref="E12:H12" si="3">E10/$D$4</f>
        <v>0.88419529253196438</v>
      </c>
      <c r="F12" s="13">
        <f t="shared" si="3"/>
        <v>0.85167966360143976</v>
      </c>
      <c r="G12" s="13">
        <f t="shared" si="3"/>
        <v>0.79981614849735561</v>
      </c>
      <c r="H12" s="13">
        <f t="shared" si="3"/>
        <v>0</v>
      </c>
      <c r="K12" s="3">
        <v>0</v>
      </c>
      <c r="L12" s="3">
        <v>0</v>
      </c>
      <c r="N12" s="3">
        <v>0</v>
      </c>
      <c r="O12" s="3">
        <v>0</v>
      </c>
      <c r="Q12" s="3">
        <v>2.08161</v>
      </c>
      <c r="R12" s="3">
        <v>0</v>
      </c>
    </row>
    <row r="13" spans="3:47" ht="16" customHeight="1">
      <c r="C13" s="13" t="s">
        <v>39</v>
      </c>
      <c r="D13" s="13">
        <f>D11/$H$5</f>
        <v>0</v>
      </c>
      <c r="E13" s="13">
        <f t="shared" ref="E13:G13" si="4">E11/$H$5</f>
        <v>0.10996449923390449</v>
      </c>
      <c r="F13" s="13">
        <f t="shared" si="4"/>
        <v>0.21992899846780897</v>
      </c>
      <c r="G13" s="13">
        <f t="shared" si="4"/>
        <v>0.3298934977017135</v>
      </c>
      <c r="H13" s="13">
        <f>H11/$H$5</f>
        <v>0.43985800903740052</v>
      </c>
      <c r="K13" s="3">
        <v>2.7686599999999997</v>
      </c>
      <c r="L13" s="3">
        <v>9.9998499999999994E-3</v>
      </c>
      <c r="N13" s="3">
        <v>1.79349</v>
      </c>
      <c r="O13" s="3">
        <v>9.9998599999999993E-3</v>
      </c>
      <c r="Q13" s="3">
        <v>4.1634500000000001</v>
      </c>
      <c r="R13" s="3">
        <v>9.9998599999999993E-3</v>
      </c>
    </row>
    <row r="14" spans="3:47" ht="16" customHeight="1">
      <c r="K14" s="3">
        <v>5.5374499999999998</v>
      </c>
      <c r="L14" s="3">
        <v>1.9999400000000001E-2</v>
      </c>
      <c r="N14" s="3">
        <v>3.5870500000000001</v>
      </c>
      <c r="O14" s="3">
        <v>1.9999400000000001E-2</v>
      </c>
      <c r="Q14" s="3">
        <v>7.2865799999999998</v>
      </c>
      <c r="R14" s="3">
        <v>1.9999400000000001E-2</v>
      </c>
      <c r="Z14" s="11" t="s">
        <v>1</v>
      </c>
      <c r="AA14" s="11">
        <v>600</v>
      </c>
      <c r="AB14" s="11"/>
      <c r="AC14" s="11"/>
      <c r="AD14" s="11"/>
      <c r="AE14" s="11"/>
      <c r="AH14" s="11" t="s">
        <v>1</v>
      </c>
      <c r="AI14" s="11">
        <v>600</v>
      </c>
      <c r="AJ14" s="11"/>
      <c r="AK14" s="11"/>
      <c r="AL14" s="11"/>
      <c r="AM14" s="11"/>
    </row>
    <row r="15" spans="3:47" ht="16" customHeight="1">
      <c r="C15" s="9" t="s">
        <v>27</v>
      </c>
      <c r="D15" s="11" t="s">
        <v>59</v>
      </c>
      <c r="E15" s="11"/>
      <c r="F15" s="11"/>
      <c r="G15" s="11"/>
      <c r="H15" s="11"/>
      <c r="K15" s="3">
        <v>9.6908500000000011</v>
      </c>
      <c r="L15" s="3">
        <v>3.49982E-2</v>
      </c>
      <c r="N15" s="3">
        <v>6.2775200000000009</v>
      </c>
      <c r="O15" s="3">
        <v>3.49982E-2</v>
      </c>
      <c r="Q15" s="3">
        <v>11.972100000000001</v>
      </c>
      <c r="R15" s="3">
        <v>3.49982E-2</v>
      </c>
      <c r="Z15" s="8" t="s">
        <v>34</v>
      </c>
      <c r="AA15" s="11"/>
      <c r="AB15" s="11"/>
      <c r="AC15" s="11"/>
      <c r="AD15" s="11"/>
      <c r="AE15" s="11"/>
      <c r="AH15" s="8" t="s">
        <v>37</v>
      </c>
      <c r="AI15" s="11"/>
      <c r="AJ15" s="11"/>
      <c r="AK15" s="11"/>
      <c r="AL15" s="11"/>
      <c r="AM15" s="11"/>
    </row>
    <row r="16" spans="3:47" ht="16" customHeight="1">
      <c r="C16" s="13" t="s">
        <v>22</v>
      </c>
      <c r="D16" s="12">
        <v>31.959</v>
      </c>
      <c r="E16" s="13">
        <v>32.985399999999998</v>
      </c>
      <c r="F16" s="13">
        <v>33.817</v>
      </c>
      <c r="G16" s="13">
        <v>34.442999999999998</v>
      </c>
      <c r="H16" s="13">
        <v>0</v>
      </c>
      <c r="K16" s="3">
        <v>15.9214</v>
      </c>
      <c r="L16" s="3">
        <v>5.74951E-2</v>
      </c>
      <c r="N16" s="3">
        <v>10.3134</v>
      </c>
      <c r="O16" s="3">
        <v>5.74951E-2</v>
      </c>
      <c r="Q16" s="3">
        <v>19.001999999999999</v>
      </c>
      <c r="R16" s="3">
        <v>5.7495200000000003E-2</v>
      </c>
      <c r="Z16" s="13" t="s">
        <v>22</v>
      </c>
      <c r="AA16" s="12">
        <v>160.46899999999999</v>
      </c>
      <c r="AB16" s="13">
        <v>187.423</v>
      </c>
      <c r="AC16" s="13">
        <v>180.62700000000001</v>
      </c>
      <c r="AD16" s="13">
        <v>149.928</v>
      </c>
      <c r="AE16" s="13">
        <v>0</v>
      </c>
      <c r="AH16" s="13" t="s">
        <v>22</v>
      </c>
      <c r="AI16" s="12">
        <v>102.798</v>
      </c>
      <c r="AJ16" s="13">
        <v>111.81699999999999</v>
      </c>
      <c r="AK16" s="13">
        <v>114.523</v>
      </c>
      <c r="AL16" s="13">
        <v>0</v>
      </c>
    </row>
    <row r="17" spans="3:39" ht="16" customHeight="1">
      <c r="C17" s="13" t="s">
        <v>23</v>
      </c>
      <c r="D17" s="13">
        <v>0</v>
      </c>
      <c r="E17" s="13">
        <v>0.13062000000000001</v>
      </c>
      <c r="F17" s="13">
        <v>0.26124000000000003</v>
      </c>
      <c r="G17" s="13">
        <v>0.39185999999999999</v>
      </c>
      <c r="H17" s="13">
        <v>0.52248000000000006</v>
      </c>
      <c r="K17" s="3">
        <v>25.267900000000001</v>
      </c>
      <c r="L17" s="3">
        <v>9.1237399999999996E-2</v>
      </c>
      <c r="N17" s="27">
        <v>16.367599999999999</v>
      </c>
      <c r="O17" s="27">
        <v>9.1237399999999996E-2</v>
      </c>
      <c r="Q17" s="3">
        <v>26.941299999999998</v>
      </c>
      <c r="R17" s="3">
        <v>9.1237600000000002E-2</v>
      </c>
      <c r="Z17" s="13" t="s">
        <v>23</v>
      </c>
      <c r="AA17" s="13">
        <v>0</v>
      </c>
      <c r="AB17" s="13">
        <v>8.2071500000000006E-2</v>
      </c>
      <c r="AC17" s="13">
        <v>0.16414300000000001</v>
      </c>
      <c r="AD17" s="13">
        <v>0.2462145</v>
      </c>
      <c r="AE17" s="13">
        <v>0.32828600000000002</v>
      </c>
      <c r="AH17" s="13" t="s">
        <v>23</v>
      </c>
      <c r="AI17" s="13">
        <v>0</v>
      </c>
      <c r="AJ17" s="13">
        <v>2.2921150000000001E-2</v>
      </c>
      <c r="AK17" s="13">
        <v>4.5842300000000002E-2</v>
      </c>
      <c r="AL17" s="13">
        <v>9.1684600000000005E-2</v>
      </c>
    </row>
    <row r="18" spans="3:39" ht="16" customHeight="1">
      <c r="C18" s="13" t="s">
        <v>38</v>
      </c>
      <c r="D18" s="13">
        <f>D16/$D$4</f>
        <v>0.99251861030624322</v>
      </c>
      <c r="E18" s="13">
        <f t="shared" ref="E18:G18" si="5">E16/$D$4</f>
        <v>1.0243944856971605</v>
      </c>
      <c r="F18" s="13">
        <f t="shared" si="5"/>
        <v>1.0502206528591704</v>
      </c>
      <c r="G18" s="13">
        <f t="shared" si="5"/>
        <v>1.0696617070239347</v>
      </c>
      <c r="H18" s="13">
        <f t="shared" ref="H18" si="6">H16/$D$4</f>
        <v>0</v>
      </c>
      <c r="K18" s="3">
        <v>30.493500000000001</v>
      </c>
      <c r="L18" s="3">
        <v>0.110235</v>
      </c>
      <c r="N18" s="3">
        <v>19.767599999999998</v>
      </c>
      <c r="O18" s="3">
        <v>0.110219</v>
      </c>
      <c r="Q18" s="3">
        <v>27.716000000000001</v>
      </c>
      <c r="R18" s="3">
        <v>0.15140600000000001</v>
      </c>
      <c r="Z18" s="13" t="s">
        <v>38</v>
      </c>
      <c r="AA18" s="13">
        <f>AA16/$AA$16</f>
        <v>1</v>
      </c>
      <c r="AB18" s="13">
        <f t="shared" ref="AB18:AE18" si="7">AB16/$AA$16</f>
        <v>1.1679701375343525</v>
      </c>
      <c r="AC18" s="13">
        <f t="shared" si="7"/>
        <v>1.1256192784899266</v>
      </c>
      <c r="AD18" s="13">
        <f t="shared" si="7"/>
        <v>0.93431130000186957</v>
      </c>
      <c r="AE18" s="13">
        <f t="shared" si="7"/>
        <v>0</v>
      </c>
      <c r="AH18" s="13" t="s">
        <v>38</v>
      </c>
      <c r="AI18" s="13">
        <f>AI16/$AI$16</f>
        <v>1</v>
      </c>
      <c r="AJ18" s="13">
        <f t="shared" ref="AJ18:AK18" si="8">AJ16/$AI$16</f>
        <v>1.0877351699449405</v>
      </c>
      <c r="AK18" s="13">
        <f t="shared" si="8"/>
        <v>1.1140586392731375</v>
      </c>
      <c r="AL18" s="13">
        <f>AL16/$AI$16</f>
        <v>0</v>
      </c>
    </row>
    <row r="19" spans="3:39" ht="16" customHeight="1">
      <c r="C19" s="13" t="s">
        <v>39</v>
      </c>
      <c r="D19" s="13">
        <f>D17/$H$5</f>
        <v>0</v>
      </c>
      <c r="E19" s="13">
        <f>E17/$H$5</f>
        <v>6.5403527043672458E-2</v>
      </c>
      <c r="F19" s="13">
        <f t="shared" ref="F19:G19" si="9">F17/$H$5</f>
        <v>0.13080705408734492</v>
      </c>
      <c r="G19" s="13">
        <f t="shared" si="9"/>
        <v>0.19621058113101736</v>
      </c>
      <c r="H19" s="13">
        <f>H17/$H$5</f>
        <v>0.26161410817468983</v>
      </c>
      <c r="K19" s="3">
        <v>30.748200000000001</v>
      </c>
      <c r="L19" s="3">
        <v>0.111248</v>
      </c>
      <c r="N19" s="3">
        <v>22.3566</v>
      </c>
      <c r="O19" s="3">
        <v>0.14960799999999999</v>
      </c>
      <c r="Q19" s="3">
        <v>28.4633</v>
      </c>
      <c r="R19" s="3">
        <v>0.163215</v>
      </c>
      <c r="Z19" s="13" t="s">
        <v>39</v>
      </c>
      <c r="AA19" s="13">
        <f>AA17/$AE$17</f>
        <v>0</v>
      </c>
      <c r="AB19" s="13">
        <f t="shared" ref="AB19:AE19" si="10">AB17/$AE$17</f>
        <v>0.25</v>
      </c>
      <c r="AC19" s="13">
        <f t="shared" si="10"/>
        <v>0.5</v>
      </c>
      <c r="AD19" s="13">
        <f t="shared" si="10"/>
        <v>0.75</v>
      </c>
      <c r="AE19" s="13">
        <f t="shared" si="10"/>
        <v>1</v>
      </c>
      <c r="AH19" s="13" t="s">
        <v>39</v>
      </c>
      <c r="AI19" s="13">
        <f>AI17/$AL$17</f>
        <v>0</v>
      </c>
      <c r="AJ19" s="13">
        <f>AJ17/$AL$17</f>
        <v>0.25</v>
      </c>
      <c r="AK19" s="13">
        <f>AK17/$AL$17</f>
        <v>0.5</v>
      </c>
      <c r="AL19" s="13">
        <f>AL17/$AL$17</f>
        <v>1</v>
      </c>
    </row>
    <row r="20" spans="3:39" ht="16" customHeight="1">
      <c r="K20" s="3">
        <v>31.103900000000003</v>
      </c>
      <c r="L20" s="3">
        <v>0.11275300000000001</v>
      </c>
      <c r="N20" s="3">
        <v>23.391400000000001</v>
      </c>
      <c r="O20" s="3">
        <v>0.17644099999999999</v>
      </c>
      <c r="Q20" s="3">
        <v>29.531500000000001</v>
      </c>
      <c r="R20" s="3">
        <v>0.17496999999999999</v>
      </c>
    </row>
    <row r="21" spans="3:39" ht="16" customHeight="1">
      <c r="C21" s="9" t="s">
        <v>27</v>
      </c>
      <c r="D21" s="11" t="s">
        <v>60</v>
      </c>
      <c r="E21" s="11"/>
      <c r="F21" s="11"/>
      <c r="G21" s="11"/>
      <c r="H21" s="11"/>
      <c r="K21" s="3">
        <v>31.587400000000002</v>
      </c>
      <c r="L21" s="3">
        <v>0.114985</v>
      </c>
      <c r="N21" s="3">
        <v>24.359500000000001</v>
      </c>
      <c r="O21" s="3">
        <v>0.20317199999999999</v>
      </c>
      <c r="Q21" s="3">
        <v>31.015700000000002</v>
      </c>
      <c r="R21" s="3">
        <v>0.19250999999999999</v>
      </c>
      <c r="Z21" s="8" t="s">
        <v>40</v>
      </c>
      <c r="AA21" s="11"/>
      <c r="AB21" s="11"/>
      <c r="AC21" s="11"/>
      <c r="AD21" s="11"/>
      <c r="AE21" s="11"/>
      <c r="AH21" s="8" t="s">
        <v>40</v>
      </c>
      <c r="AI21" s="11"/>
      <c r="AJ21" s="11"/>
      <c r="AK21" s="11"/>
      <c r="AL21" s="11"/>
      <c r="AM21" s="11"/>
    </row>
    <row r="22" spans="3:39">
      <c r="C22" s="13" t="s">
        <v>22</v>
      </c>
      <c r="D22" s="12">
        <v>31.702000000000002</v>
      </c>
      <c r="E22" s="13">
        <v>32.9741</v>
      </c>
      <c r="F22" s="13">
        <v>33.799799999999998</v>
      </c>
      <c r="G22" s="13">
        <v>34.424100000000003</v>
      </c>
      <c r="H22" s="13">
        <v>0</v>
      </c>
      <c r="K22" s="3">
        <v>32.010599999999997</v>
      </c>
      <c r="L22" s="3">
        <v>0.11819200000000001</v>
      </c>
      <c r="N22" s="3">
        <v>25.694099999999999</v>
      </c>
      <c r="O22" s="3">
        <v>0.243175</v>
      </c>
      <c r="Q22" s="3">
        <v>32.9863</v>
      </c>
      <c r="R22" s="3">
        <v>0.218641</v>
      </c>
      <c r="Z22" s="13" t="s">
        <v>22</v>
      </c>
      <c r="AA22" s="12">
        <v>58.221852793403002</v>
      </c>
      <c r="AB22" s="13">
        <v>54.687700389848203</v>
      </c>
      <c r="AC22" s="13">
        <v>50.881994019689401</v>
      </c>
      <c r="AD22" s="13">
        <v>47.567546205720603</v>
      </c>
      <c r="AE22" s="13">
        <v>0</v>
      </c>
      <c r="AH22" s="13" t="s">
        <v>22</v>
      </c>
      <c r="AI22" s="12">
        <v>58.221852793403002</v>
      </c>
      <c r="AJ22" s="13">
        <v>54.687700389848203</v>
      </c>
      <c r="AK22" s="13">
        <v>50.881994019689401</v>
      </c>
      <c r="AL22" s="13">
        <v>47.567546205720603</v>
      </c>
      <c r="AM22" s="13">
        <v>0</v>
      </c>
    </row>
    <row r="23" spans="3:39">
      <c r="C23" s="13" t="s">
        <v>23</v>
      </c>
      <c r="D23" s="13">
        <v>0</v>
      </c>
      <c r="E23" s="13">
        <v>0.13019525000000001</v>
      </c>
      <c r="F23" s="13">
        <v>0.26039050000000002</v>
      </c>
      <c r="G23" s="13">
        <v>0.39058575000000001</v>
      </c>
      <c r="H23" s="13">
        <v>0.52078100000000005</v>
      </c>
      <c r="K23" s="3">
        <v>32.1999</v>
      </c>
      <c r="L23" s="3">
        <v>0.122513</v>
      </c>
      <c r="N23" s="3">
        <v>27.452200000000001</v>
      </c>
      <c r="O23" s="3">
        <v>0.30295299999999997</v>
      </c>
      <c r="Q23" s="3">
        <v>35.408999999999999</v>
      </c>
      <c r="R23" s="3">
        <v>0.25748700000000002</v>
      </c>
      <c r="Z23" s="13" t="s">
        <v>23</v>
      </c>
      <c r="AA23" s="13">
        <v>0</v>
      </c>
      <c r="AB23" s="13">
        <f>0.25*AE23</f>
        <v>2.6607397073571532E-2</v>
      </c>
      <c r="AC23" s="13">
        <f>0.5*AE23</f>
        <v>5.3214794147143064E-2</v>
      </c>
      <c r="AD23" s="13">
        <f>0.75*AE23</f>
        <v>7.98221912207146E-2</v>
      </c>
      <c r="AE23" s="13">
        <v>0.10642958829428613</v>
      </c>
      <c r="AH23" s="13" t="s">
        <v>23</v>
      </c>
      <c r="AI23" s="13">
        <v>0</v>
      </c>
      <c r="AJ23" s="13">
        <f>0.25*AM23</f>
        <v>2.6607397073571532E-2</v>
      </c>
      <c r="AK23" s="13">
        <f>0.5*AM23</f>
        <v>5.3214794147143064E-2</v>
      </c>
      <c r="AL23" s="13">
        <f>0.75*AM23</f>
        <v>7.98221912207146E-2</v>
      </c>
      <c r="AM23" s="13">
        <v>0.10642958829428613</v>
      </c>
    </row>
    <row r="24" spans="3:39">
      <c r="C24" s="13" t="s">
        <v>38</v>
      </c>
      <c r="D24" s="13">
        <f>D22/$D$4</f>
        <v>0.98453721905968661</v>
      </c>
      <c r="E24" s="13">
        <f t="shared" ref="E24:H24" si="11">E22/$D$4</f>
        <v>1.0240435529302887</v>
      </c>
      <c r="F24" s="13">
        <f t="shared" si="11"/>
        <v>1.0496864897095952</v>
      </c>
      <c r="G24" s="13">
        <f t="shared" si="11"/>
        <v>1.0690747486793439</v>
      </c>
      <c r="H24" s="13">
        <f t="shared" si="11"/>
        <v>0</v>
      </c>
      <c r="K24" s="3">
        <v>32.184100000000001</v>
      </c>
      <c r="L24" s="3">
        <v>0.12867300000000001</v>
      </c>
      <c r="N24" s="3">
        <v>29.604599999999998</v>
      </c>
      <c r="O24" s="3">
        <v>0.39244000000000001</v>
      </c>
      <c r="Q24" s="3">
        <v>38.026000000000003</v>
      </c>
      <c r="R24" s="3">
        <v>0.315135</v>
      </c>
      <c r="Z24" s="13" t="s">
        <v>38</v>
      </c>
      <c r="AA24" s="13">
        <f>AA22/$AI16</f>
        <v>0.56637145463338778</v>
      </c>
      <c r="AB24" s="13">
        <f t="shared" ref="AB24:AE24" si="12">AB22/$AI16</f>
        <v>0.53199187133843262</v>
      </c>
      <c r="AC24" s="13">
        <f t="shared" si="12"/>
        <v>0.49497066109933463</v>
      </c>
      <c r="AD24" s="13">
        <f t="shared" si="12"/>
        <v>0.46272832356388843</v>
      </c>
      <c r="AE24" s="13">
        <f t="shared" si="12"/>
        <v>0</v>
      </c>
      <c r="AH24" s="13" t="s">
        <v>38</v>
      </c>
      <c r="AI24" s="13">
        <f>AI22/$AI16</f>
        <v>0.56637145463338778</v>
      </c>
      <c r="AJ24" s="13">
        <f t="shared" ref="AJ24:AM24" si="13">AJ22/$AI16</f>
        <v>0.53199187133843262</v>
      </c>
      <c r="AK24" s="13">
        <f t="shared" si="13"/>
        <v>0.49497066109933463</v>
      </c>
      <c r="AL24" s="13">
        <f t="shared" si="13"/>
        <v>0.46272832356388843</v>
      </c>
      <c r="AM24" s="13">
        <f t="shared" si="13"/>
        <v>0</v>
      </c>
    </row>
    <row r="25" spans="3:39">
      <c r="C25" s="13" t="s">
        <v>39</v>
      </c>
      <c r="D25" s="13">
        <f>D23/$H$5</f>
        <v>0</v>
      </c>
      <c r="E25" s="13">
        <f>E23/$H$5</f>
        <v>6.5190847912514907E-2</v>
      </c>
      <c r="F25" s="13">
        <f t="shared" ref="F25:G25" si="14">F23/$H$5</f>
        <v>0.13038169582502981</v>
      </c>
      <c r="G25" s="13">
        <f t="shared" si="14"/>
        <v>0.19557254373754471</v>
      </c>
      <c r="H25" s="13">
        <f>H23/$H$5</f>
        <v>0.26076339165005963</v>
      </c>
      <c r="K25" s="3">
        <v>31.993099999999998</v>
      </c>
      <c r="L25" s="3">
        <v>0.13772100000000001</v>
      </c>
      <c r="N25" s="3">
        <v>31.9422</v>
      </c>
      <c r="O25" s="3">
        <v>0.52661500000000006</v>
      </c>
      <c r="Q25" s="3">
        <v>38.731900000000003</v>
      </c>
      <c r="R25" s="3">
        <v>0.40068799999999999</v>
      </c>
      <c r="Z25" s="13" t="s">
        <v>39</v>
      </c>
      <c r="AA25" s="13">
        <f>AA23/$AL$17</f>
        <v>0</v>
      </c>
      <c r="AB25" s="13">
        <f>AB23/$AL$17</f>
        <v>0.29020573873443883</v>
      </c>
      <c r="AC25" s="13">
        <f>AC23/$AL$17</f>
        <v>0.58041147746887767</v>
      </c>
      <c r="AD25" s="13">
        <f>AD23/$AL$17</f>
        <v>0.87061721620331656</v>
      </c>
      <c r="AE25" s="13">
        <f>AE23/$AL$17</f>
        <v>1.1608229549377553</v>
      </c>
      <c r="AH25" s="13" t="s">
        <v>39</v>
      </c>
      <c r="AI25" s="13">
        <f>AI23/$AL$17</f>
        <v>0</v>
      </c>
      <c r="AJ25" s="13">
        <f>AJ23/$AL$17</f>
        <v>0.29020573873443883</v>
      </c>
      <c r="AK25" s="13">
        <f>AK23/$AL$17</f>
        <v>0.58041147746887767</v>
      </c>
      <c r="AL25" s="13">
        <f>AL23/$AL$17</f>
        <v>0.87061721620331656</v>
      </c>
      <c r="AM25" s="13">
        <f>AM23/$AL$17</f>
        <v>1.1608229549377553</v>
      </c>
    </row>
    <row r="26" spans="3:39">
      <c r="K26" s="3">
        <v>31.611999999999998</v>
      </c>
      <c r="L26" s="3">
        <v>0.15109700000000001</v>
      </c>
      <c r="N26" s="3">
        <v>33.264600000000002</v>
      </c>
      <c r="O26" s="3">
        <v>0.72259600000000002</v>
      </c>
      <c r="Q26" s="3">
        <v>38.219000000000001</v>
      </c>
      <c r="R26" s="3">
        <v>0.44717800000000002</v>
      </c>
    </row>
    <row r="27" spans="3:39">
      <c r="C27" s="9" t="s">
        <v>27</v>
      </c>
      <c r="D27" s="11" t="s">
        <v>61</v>
      </c>
      <c r="E27" s="11"/>
      <c r="F27" s="11"/>
      <c r="G27" s="11"/>
      <c r="H27" s="11"/>
      <c r="K27" s="3">
        <v>30.919</v>
      </c>
      <c r="L27" s="3">
        <v>0.17126</v>
      </c>
      <c r="N27" s="3">
        <v>33.276199999999996</v>
      </c>
      <c r="O27" s="3">
        <v>0.73265599999999997</v>
      </c>
      <c r="Q27" s="3">
        <v>36.322300000000006</v>
      </c>
      <c r="R27" s="3">
        <v>0.50867499999999999</v>
      </c>
      <c r="Z27" s="9" t="s">
        <v>34</v>
      </c>
      <c r="AA27" s="11" t="s">
        <v>59</v>
      </c>
      <c r="AB27" s="11"/>
      <c r="AC27" s="11"/>
      <c r="AD27" s="11"/>
      <c r="AE27" s="11"/>
      <c r="AH27" s="8" t="s">
        <v>37</v>
      </c>
      <c r="AI27" s="11" t="s">
        <v>59</v>
      </c>
      <c r="AJ27" s="11"/>
      <c r="AK27" s="11"/>
      <c r="AL27" s="11"/>
      <c r="AM27" s="11"/>
    </row>
    <row r="28" spans="3:39">
      <c r="C28" s="13" t="s">
        <v>22</v>
      </c>
      <c r="D28" s="12">
        <v>31.561</v>
      </c>
      <c r="E28" s="13">
        <v>32.015000000000001</v>
      </c>
      <c r="F28" s="13">
        <v>29.501999999999999</v>
      </c>
      <c r="G28" s="13">
        <v>23.103999999999999</v>
      </c>
      <c r="H28" s="13">
        <v>0</v>
      </c>
      <c r="K28" s="3">
        <v>29.788599999999999</v>
      </c>
      <c r="L28" s="3">
        <v>0.20152800000000001</v>
      </c>
      <c r="N28" s="3">
        <v>33.279199999999996</v>
      </c>
      <c r="O28" s="3">
        <v>0.74736899999999995</v>
      </c>
      <c r="Q28" s="3">
        <v>34.154199999999996</v>
      </c>
      <c r="R28" s="3">
        <v>0.55829300000000004</v>
      </c>
      <c r="Z28" s="13" t="s">
        <v>22</v>
      </c>
      <c r="AA28" s="12">
        <v>160.85599999999999</v>
      </c>
      <c r="AB28" s="13">
        <v>148.91200000000001</v>
      </c>
      <c r="AC28" s="13">
        <v>122.161</v>
      </c>
      <c r="AD28" s="13">
        <v>74.599000000000004</v>
      </c>
      <c r="AE28" s="13">
        <v>0</v>
      </c>
      <c r="AH28" s="13" t="s">
        <v>22</v>
      </c>
      <c r="AI28" s="12">
        <v>108.43600000000001</v>
      </c>
      <c r="AJ28" s="13">
        <v>106.836</v>
      </c>
      <c r="AK28" s="13">
        <v>102.514</v>
      </c>
      <c r="AL28" s="13">
        <v>0</v>
      </c>
    </row>
    <row r="29" spans="3:39">
      <c r="C29" s="13" t="s">
        <v>23</v>
      </c>
      <c r="D29" s="13">
        <v>0</v>
      </c>
      <c r="E29" s="13">
        <v>0.19311900000000001</v>
      </c>
      <c r="F29" s="13">
        <v>0.386239</v>
      </c>
      <c r="G29" s="13">
        <v>0.57935800000000004</v>
      </c>
      <c r="H29" s="13">
        <v>0.52248000000000006</v>
      </c>
      <c r="K29" s="3">
        <v>28.0351</v>
      </c>
      <c r="L29" s="3">
        <v>0.24769099999999999</v>
      </c>
      <c r="N29" s="3">
        <v>33.252900000000004</v>
      </c>
      <c r="O29" s="3">
        <v>0.76940200000000003</v>
      </c>
      <c r="Q29" s="3">
        <v>32.273099999999999</v>
      </c>
      <c r="R29" s="3">
        <v>0.61060999999999999</v>
      </c>
      <c r="Z29" s="13" t="s">
        <v>23</v>
      </c>
      <c r="AA29" s="13">
        <v>0</v>
      </c>
      <c r="AB29" s="13">
        <v>2.0910000000000002E-2</v>
      </c>
      <c r="AC29" s="13">
        <v>4.1820000000000003E-2</v>
      </c>
      <c r="AD29" s="13">
        <v>6.2729999999999994E-2</v>
      </c>
      <c r="AE29" s="13">
        <v>8.3635799999999996E-2</v>
      </c>
      <c r="AH29" s="13" t="s">
        <v>23</v>
      </c>
      <c r="AI29" s="13">
        <v>0</v>
      </c>
      <c r="AJ29" s="13">
        <v>2.2808999999999999E-2</v>
      </c>
      <c r="AK29" s="13">
        <v>3.4213500000000001E-2</v>
      </c>
      <c r="AL29" s="13">
        <v>4.5617999999999999E-2</v>
      </c>
    </row>
    <row r="30" spans="3:39">
      <c r="C30" s="13" t="s">
        <v>38</v>
      </c>
      <c r="D30" s="13">
        <f>D28/$D$4</f>
        <v>0.98015832347305432</v>
      </c>
      <c r="E30" s="13">
        <f t="shared" ref="E30:H30" si="15">E28/$D$4</f>
        <v>0.99425774614206874</v>
      </c>
      <c r="F30" s="13">
        <f t="shared" si="15"/>
        <v>0.91621402550939601</v>
      </c>
      <c r="G30" s="13">
        <f t="shared" si="15"/>
        <v>0.71751775626632375</v>
      </c>
      <c r="H30" s="13">
        <f t="shared" si="15"/>
        <v>0</v>
      </c>
      <c r="K30" s="3">
        <v>25.418500000000002</v>
      </c>
      <c r="L30" s="3">
        <v>0.31896000000000002</v>
      </c>
      <c r="N30" s="3">
        <v>33.166199999999996</v>
      </c>
      <c r="O30" s="3">
        <v>0.80176599999999998</v>
      </c>
      <c r="Q30" s="3">
        <v>30.307200000000002</v>
      </c>
      <c r="R30" s="3">
        <v>0.66697399999999996</v>
      </c>
      <c r="Z30" s="13" t="s">
        <v>38</v>
      </c>
      <c r="AA30" s="13">
        <f>AA28/$AA$16</f>
        <v>1.0024116807607699</v>
      </c>
      <c r="AB30" s="13">
        <f t="shared" ref="AB30:AE30" si="16">AB28/$AA$16</f>
        <v>0.92797985903819435</v>
      </c>
      <c r="AC30" s="13">
        <f t="shared" si="16"/>
        <v>0.76127476334993061</v>
      </c>
      <c r="AD30" s="13">
        <f t="shared" si="16"/>
        <v>0.464881067371268</v>
      </c>
      <c r="AE30" s="13">
        <f t="shared" si="16"/>
        <v>0</v>
      </c>
      <c r="AH30" s="13" t="s">
        <v>38</v>
      </c>
      <c r="AI30" s="13">
        <f>AI28/$AI$16</f>
        <v>1.0548454250082686</v>
      </c>
      <c r="AJ30" s="13">
        <f>AJ28/$AI$16</f>
        <v>1.0392809198622541</v>
      </c>
      <c r="AK30" s="13">
        <f>AK28/$AI$16</f>
        <v>0.99723730033658231</v>
      </c>
      <c r="AL30" s="13">
        <f>AL28/$AI$16</f>
        <v>0</v>
      </c>
    </row>
    <row r="31" spans="3:39">
      <c r="C31" s="13" t="s">
        <v>39</v>
      </c>
      <c r="D31" s="13">
        <f>D29/$H$5</f>
        <v>0</v>
      </c>
      <c r="E31" s="13">
        <f>E29/$H$5</f>
        <v>9.6697777822285877E-2</v>
      </c>
      <c r="F31" s="13">
        <f t="shared" ref="F31:G31" si="17">F29/$H$5</f>
        <v>0.19339605636059565</v>
      </c>
      <c r="G31" s="13">
        <f t="shared" si="17"/>
        <v>0.29009383418288154</v>
      </c>
      <c r="H31" s="13">
        <f>H29/$H$5</f>
        <v>0.26161410817468983</v>
      </c>
      <c r="K31" s="3">
        <v>21.979500000000002</v>
      </c>
      <c r="L31" s="3">
        <v>0.43092599999999998</v>
      </c>
      <c r="N31" s="3">
        <v>33.160699999999999</v>
      </c>
      <c r="O31" s="3">
        <v>0.80357800000000001</v>
      </c>
      <c r="Q31" s="3">
        <v>28.415099999999999</v>
      </c>
      <c r="R31" s="3">
        <v>0.75800599999999996</v>
      </c>
      <c r="Z31" s="13" t="s">
        <v>39</v>
      </c>
      <c r="AA31" s="13">
        <f>AA29/$AE$17</f>
        <v>0</v>
      </c>
      <c r="AB31" s="13">
        <f t="shared" ref="AB31:AE31" si="18">AB29/$AE$17</f>
        <v>6.3694461536587005E-2</v>
      </c>
      <c r="AC31" s="13">
        <f t="shared" si="18"/>
        <v>0.12738892307317401</v>
      </c>
      <c r="AD31" s="13">
        <f t="shared" si="18"/>
        <v>0.19108338460976096</v>
      </c>
      <c r="AE31" s="13">
        <f t="shared" si="18"/>
        <v>0.25476505242380115</v>
      </c>
      <c r="AH31" s="13" t="s">
        <v>39</v>
      </c>
      <c r="AI31" s="13">
        <f>AI29/$AL$17</f>
        <v>0</v>
      </c>
      <c r="AJ31" s="13">
        <f>AJ29/$AL$17</f>
        <v>0.24877678475992696</v>
      </c>
      <c r="AK31" s="13">
        <f>AK29/$AL$17</f>
        <v>0.37316517713989045</v>
      </c>
      <c r="AL31" s="13">
        <f>AL29/$AL$17</f>
        <v>0.49755356951985391</v>
      </c>
    </row>
    <row r="32" spans="3:39">
      <c r="K32" s="3">
        <v>18.366199999999999</v>
      </c>
      <c r="L32" s="3">
        <v>0.61044100000000001</v>
      </c>
      <c r="N32" s="3">
        <v>33.152500000000003</v>
      </c>
      <c r="O32" s="3">
        <v>0.80613299999999999</v>
      </c>
      <c r="Q32" s="3">
        <v>27.185700000000001</v>
      </c>
      <c r="R32" s="3">
        <v>0.90257799999999999</v>
      </c>
    </row>
    <row r="33" spans="11:39">
      <c r="K33" s="3">
        <v>14.9937</v>
      </c>
      <c r="L33" s="3">
        <v>0.89702499999999996</v>
      </c>
      <c r="N33" s="3">
        <v>33.139600000000002</v>
      </c>
      <c r="O33" s="3">
        <v>0.809948</v>
      </c>
      <c r="Q33" s="3">
        <v>26.2805</v>
      </c>
      <c r="R33" s="3">
        <v>1.0517399999999999</v>
      </c>
      <c r="Z33" s="9" t="s">
        <v>34</v>
      </c>
      <c r="AA33" s="11" t="s">
        <v>60</v>
      </c>
      <c r="AB33" s="11"/>
      <c r="AC33" s="11"/>
      <c r="AD33" s="11"/>
      <c r="AE33" s="11"/>
      <c r="AH33" s="8" t="s">
        <v>37</v>
      </c>
      <c r="AI33" s="11" t="s">
        <v>60</v>
      </c>
      <c r="AJ33" s="11"/>
      <c r="AK33" s="11"/>
      <c r="AL33" s="11"/>
      <c r="AM33" s="11"/>
    </row>
    <row r="34" spans="11:39">
      <c r="K34" s="3">
        <v>13.712299999999999</v>
      </c>
      <c r="L34" s="3">
        <v>1.0636399999999999</v>
      </c>
      <c r="N34" s="3">
        <v>33.1372</v>
      </c>
      <c r="O34" s="3">
        <v>0.81022499999999997</v>
      </c>
      <c r="Q34" s="3">
        <v>25.5639</v>
      </c>
      <c r="R34" s="3">
        <v>1.2035400000000001</v>
      </c>
      <c r="Z34" s="13" t="s">
        <v>22</v>
      </c>
      <c r="AA34" s="12">
        <v>160.82499999999999</v>
      </c>
      <c r="AB34" s="13">
        <v>121.889</v>
      </c>
      <c r="AC34" s="13">
        <v>74.524000000000001</v>
      </c>
      <c r="AD34" s="13">
        <v>0</v>
      </c>
      <c r="AH34" s="13" t="s">
        <v>22</v>
      </c>
      <c r="AI34" s="12">
        <v>108.35</v>
      </c>
      <c r="AJ34" s="13">
        <v>111.76900000000001</v>
      </c>
      <c r="AK34" s="13">
        <v>0</v>
      </c>
    </row>
    <row r="35" spans="11:39">
      <c r="K35" s="3">
        <v>12.2461</v>
      </c>
      <c r="L35" s="3">
        <v>1.3186199999999999</v>
      </c>
      <c r="N35" s="3">
        <v>33.133000000000003</v>
      </c>
      <c r="O35" s="3">
        <v>0.81055600000000005</v>
      </c>
      <c r="Q35" s="3">
        <v>24.7012</v>
      </c>
      <c r="R35" s="3">
        <v>1.3569800000000001</v>
      </c>
      <c r="Z35" s="13" t="s">
        <v>23</v>
      </c>
      <c r="AA35" s="13">
        <v>0</v>
      </c>
      <c r="AB35" s="13">
        <v>4.1799999999999997E-2</v>
      </c>
      <c r="AC35" s="13">
        <v>6.2700000000000006E-2</v>
      </c>
      <c r="AD35" s="13">
        <v>8.36065E-2</v>
      </c>
      <c r="AH35" s="13" t="s">
        <v>23</v>
      </c>
      <c r="AI35" s="13">
        <v>0</v>
      </c>
      <c r="AJ35" s="13">
        <v>2.3970399999999999E-2</v>
      </c>
      <c r="AK35" s="13">
        <v>4.7940799999999999E-2</v>
      </c>
    </row>
    <row r="36" spans="11:39">
      <c r="K36" s="3">
        <v>10.684100000000001</v>
      </c>
      <c r="L36" s="3">
        <v>1.70889</v>
      </c>
      <c r="N36" s="3">
        <v>33.130099999999999</v>
      </c>
      <c r="O36" s="3">
        <v>0.81078099999999997</v>
      </c>
      <c r="Q36" s="3">
        <v>24.0016</v>
      </c>
      <c r="R36" s="3">
        <v>1.58917</v>
      </c>
      <c r="Z36" s="13" t="s">
        <v>38</v>
      </c>
      <c r="AA36" s="13">
        <f>AA34/$AA$16</f>
        <v>1.0022184970305792</v>
      </c>
      <c r="AB36" s="13">
        <f>AB34/$AA$16</f>
        <v>0.75957973191083639</v>
      </c>
      <c r="AC36" s="13">
        <f>AC34/$AA$16</f>
        <v>0.46441368737887073</v>
      </c>
      <c r="AD36" s="13">
        <f>AD34/$AA$16</f>
        <v>0</v>
      </c>
      <c r="AH36" s="13" t="s">
        <v>38</v>
      </c>
      <c r="AI36" s="13">
        <f>AI34/$AI$16</f>
        <v>1.0540088328566704</v>
      </c>
      <c r="AJ36" s="13">
        <f>AJ34/$AI$16</f>
        <v>1.0872682347905602</v>
      </c>
      <c r="AK36" s="13">
        <f>AK34/$AI$16</f>
        <v>0</v>
      </c>
    </row>
    <row r="37" spans="11:39">
      <c r="K37" s="3">
        <v>9.5812000000000008</v>
      </c>
      <c r="L37" s="3">
        <v>2.105</v>
      </c>
      <c r="N37" s="3">
        <v>33.125699999999995</v>
      </c>
      <c r="O37" s="3">
        <v>0.81111900000000003</v>
      </c>
      <c r="Q37" s="3">
        <v>23.403400000000001</v>
      </c>
      <c r="R37" s="3">
        <v>1.82254</v>
      </c>
      <c r="Z37" s="13" t="s">
        <v>39</v>
      </c>
      <c r="AA37" s="13">
        <f>AA35/$AE$17</f>
        <v>0</v>
      </c>
      <c r="AB37" s="13">
        <f>AB35/$AE$17</f>
        <v>0.12732800058485588</v>
      </c>
      <c r="AC37" s="13">
        <f>AC35/$AE$17</f>
        <v>0.19099200087728382</v>
      </c>
      <c r="AD37" s="13">
        <f>AD35/$AE$17</f>
        <v>0.25467580097841513</v>
      </c>
      <c r="AH37" s="13" t="s">
        <v>39</v>
      </c>
      <c r="AI37" s="13">
        <f>AI35/$AL$17</f>
        <v>0</v>
      </c>
      <c r="AJ37" s="13">
        <f>AJ35/$AL$17</f>
        <v>0.26144412474941264</v>
      </c>
      <c r="AK37" s="13">
        <f>AK35/$AL$17</f>
        <v>0.52288824949882529</v>
      </c>
    </row>
    <row r="38" spans="11:39">
      <c r="K38" s="3">
        <v>8.7537199999999995</v>
      </c>
      <c r="L38" s="3">
        <v>2.5047999999999999</v>
      </c>
      <c r="N38" s="3">
        <v>33.1203</v>
      </c>
      <c r="O38" s="3">
        <v>0.81152599999999997</v>
      </c>
      <c r="Q38" s="3">
        <v>22.636200000000002</v>
      </c>
      <c r="R38" s="3">
        <v>2.0563699999999998</v>
      </c>
    </row>
    <row r="39" spans="11:39">
      <c r="K39" s="3">
        <v>8.104470000000001</v>
      </c>
      <c r="L39" s="3">
        <v>2.90733</v>
      </c>
      <c r="N39" s="3">
        <v>33.112400000000001</v>
      </c>
      <c r="O39" s="3">
        <v>0.81212200000000001</v>
      </c>
      <c r="Q39" s="3">
        <v>21.686400000000003</v>
      </c>
      <c r="R39" s="3">
        <v>2.4082300000000001</v>
      </c>
      <c r="Z39" s="9" t="s">
        <v>34</v>
      </c>
      <c r="AA39" s="11" t="s">
        <v>61</v>
      </c>
      <c r="AB39" s="11"/>
      <c r="AC39" s="11"/>
      <c r="AD39" s="11"/>
      <c r="AE39" s="11"/>
      <c r="AH39" s="8" t="s">
        <v>37</v>
      </c>
      <c r="AI39" s="11" t="s">
        <v>61</v>
      </c>
      <c r="AJ39" s="11"/>
      <c r="AK39" s="11"/>
      <c r="AL39" s="11"/>
      <c r="AM39" s="11"/>
    </row>
    <row r="40" spans="11:39">
      <c r="K40" s="3">
        <v>7.5777099999999997</v>
      </c>
      <c r="L40" s="3">
        <v>3.3117999999999999</v>
      </c>
      <c r="N40" s="3">
        <v>33.078800000000001</v>
      </c>
      <c r="O40" s="3">
        <v>0.81455500000000003</v>
      </c>
      <c r="Q40" s="3">
        <v>21.479700000000001</v>
      </c>
      <c r="R40" s="3">
        <v>2.9432200000000002</v>
      </c>
      <c r="Z40" s="13" t="s">
        <v>22</v>
      </c>
      <c r="AA40" s="12">
        <v>130.48500000000001</v>
      </c>
      <c r="AB40" s="13">
        <v>88.938000000000002</v>
      </c>
      <c r="AC40" s="13">
        <v>52.414000000000001</v>
      </c>
      <c r="AD40" s="13">
        <v>0</v>
      </c>
      <c r="AH40" s="13" t="s">
        <v>22</v>
      </c>
      <c r="AI40" s="12">
        <v>79.489699999999999</v>
      </c>
      <c r="AJ40" s="13">
        <v>66.218000000000004</v>
      </c>
      <c r="AK40" s="13">
        <v>25.571899999999999</v>
      </c>
      <c r="AL40" s="13">
        <v>0</v>
      </c>
    </row>
    <row r="41" spans="11:39">
      <c r="K41" s="3">
        <v>7.1388199999999999</v>
      </c>
      <c r="L41" s="3">
        <v>3.7178300000000002</v>
      </c>
      <c r="N41" s="3">
        <v>33.067399999999999</v>
      </c>
      <c r="O41" s="3">
        <v>0.81535299999999999</v>
      </c>
      <c r="Q41" s="3">
        <v>21.283099999999997</v>
      </c>
      <c r="R41" s="3">
        <v>3.07734</v>
      </c>
      <c r="Z41" s="13" t="s">
        <v>23</v>
      </c>
      <c r="AA41" s="13">
        <v>0</v>
      </c>
      <c r="AB41" s="13">
        <v>3.76149E-2</v>
      </c>
      <c r="AC41" s="13">
        <v>5.6422E-2</v>
      </c>
      <c r="AD41" s="13">
        <v>7.5229799999999999E-2</v>
      </c>
      <c r="AH41" s="13" t="s">
        <v>23</v>
      </c>
      <c r="AI41" s="13">
        <v>0</v>
      </c>
      <c r="AJ41" s="13">
        <v>1.0370600000000001E-2</v>
      </c>
      <c r="AK41" s="13">
        <v>3.1111799999999998E-2</v>
      </c>
      <c r="AL41" s="13">
        <v>4.1482400000000003E-2</v>
      </c>
    </row>
    <row r="42" spans="11:39">
      <c r="K42" s="3">
        <v>6.7653999999999996</v>
      </c>
      <c r="L42" s="3">
        <v>4.1250900000000001</v>
      </c>
      <c r="N42" s="3">
        <v>33.0565</v>
      </c>
      <c r="O42" s="3">
        <v>0.81610799999999994</v>
      </c>
      <c r="Q42" s="3">
        <v>68.776699999999991</v>
      </c>
      <c r="R42" s="3">
        <v>3.2116199999999999</v>
      </c>
      <c r="Z42" s="13" t="s">
        <v>38</v>
      </c>
      <c r="AA42" s="13">
        <f>AA40/$AA$16</f>
        <v>0.81314771077279735</v>
      </c>
      <c r="AB42" s="13">
        <f>AB40/$AA$16</f>
        <v>0.55423789018439706</v>
      </c>
      <c r="AC42" s="13">
        <f>AC40/$AA$16</f>
        <v>0.32663006562015096</v>
      </c>
      <c r="AD42" s="13">
        <f>AD40/$AA$16</f>
        <v>0</v>
      </c>
      <c r="AH42" s="13" t="s">
        <v>38</v>
      </c>
      <c r="AI42" s="13">
        <f>AI40/$AI$16</f>
        <v>0.77326115294071862</v>
      </c>
      <c r="AJ42" s="13">
        <f t="shared" ref="AJ42" si="19">AJ40/$AI$16</f>
        <v>0.64415650109924316</v>
      </c>
      <c r="AK42" s="13">
        <f>AK40/$AI$16</f>
        <v>0.24875873071460533</v>
      </c>
      <c r="AL42" s="13">
        <f>AL40/$AI$16</f>
        <v>0</v>
      </c>
    </row>
    <row r="43" spans="11:39">
      <c r="Z43" s="13" t="s">
        <v>39</v>
      </c>
      <c r="AA43" s="13">
        <f>AA41/$AE$17</f>
        <v>0</v>
      </c>
      <c r="AB43" s="13">
        <f>AB41/$AE$17</f>
        <v>0.11457966529184917</v>
      </c>
      <c r="AC43" s="13">
        <f>AC41/$AE$17</f>
        <v>0.1718684317942282</v>
      </c>
      <c r="AD43" s="13">
        <f>AD41/$AE$17</f>
        <v>0.22915933058369833</v>
      </c>
      <c r="AH43" s="13" t="s">
        <v>39</v>
      </c>
      <c r="AI43" s="13">
        <f>AI41/$AL$17</f>
        <v>0</v>
      </c>
      <c r="AJ43" s="13">
        <f>AJ41/$AL$17</f>
        <v>0.11311168942221486</v>
      </c>
      <c r="AK43" s="13">
        <f>AK41/$AL$17</f>
        <v>0.3393350682666445</v>
      </c>
      <c r="AL43" s="13">
        <f>AL41/$AL$17</f>
        <v>0.45244675768885945</v>
      </c>
    </row>
    <row r="46" spans="11:39">
      <c r="K46" s="9" t="s">
        <v>34</v>
      </c>
      <c r="N46" s="9" t="s">
        <v>36</v>
      </c>
      <c r="Q46" s="9" t="s">
        <v>37</v>
      </c>
    </row>
    <row r="47" spans="11:39" ht="70">
      <c r="K47" s="2" t="s">
        <v>8</v>
      </c>
      <c r="L47" s="2" t="s">
        <v>9</v>
      </c>
      <c r="N47" s="2" t="s">
        <v>8</v>
      </c>
      <c r="O47" s="2" t="s">
        <v>9</v>
      </c>
      <c r="Q47" s="2" t="s">
        <v>8</v>
      </c>
      <c r="R47" s="2" t="s">
        <v>9</v>
      </c>
      <c r="AH47" s="34" t="s">
        <v>167</v>
      </c>
      <c r="AI47" s="34" t="s">
        <v>168</v>
      </c>
      <c r="AJ47" s="34" t="s">
        <v>169</v>
      </c>
      <c r="AK47" s="34" t="s">
        <v>170</v>
      </c>
    </row>
    <row r="48" spans="11:39" ht="28">
      <c r="K48" s="3">
        <v>0</v>
      </c>
      <c r="L48" s="3">
        <v>0</v>
      </c>
      <c r="N48" s="3">
        <v>0</v>
      </c>
      <c r="O48" s="3">
        <v>0</v>
      </c>
      <c r="Q48" s="3">
        <v>0</v>
      </c>
      <c r="R48" s="3">
        <v>0</v>
      </c>
      <c r="AH48" s="34" t="s">
        <v>171</v>
      </c>
      <c r="AI48" s="55" t="s">
        <v>172</v>
      </c>
      <c r="AJ48" s="55" t="s">
        <v>173</v>
      </c>
      <c r="AK48" s="55" t="s">
        <v>174</v>
      </c>
    </row>
    <row r="49" spans="3:37">
      <c r="K49" s="3">
        <v>16.387499999999999</v>
      </c>
      <c r="L49" s="3">
        <v>9.9531600000000008E-3</v>
      </c>
      <c r="N49" s="3">
        <v>10.597</v>
      </c>
      <c r="O49" s="3">
        <v>9.9505300000000008E-3</v>
      </c>
      <c r="Q49" s="3">
        <v>12.2484</v>
      </c>
      <c r="R49" s="3">
        <v>9.9483799999999997E-3</v>
      </c>
      <c r="AH49" s="61">
        <v>0</v>
      </c>
      <c r="AI49" s="34">
        <v>1</v>
      </c>
      <c r="AJ49" s="34">
        <v>1</v>
      </c>
      <c r="AK49" s="34">
        <v>1</v>
      </c>
    </row>
    <row r="50" spans="3:37">
      <c r="K50" s="3">
        <v>32.568599999999996</v>
      </c>
      <c r="L50" s="3">
        <v>1.98079E-2</v>
      </c>
      <c r="N50" s="3">
        <v>21.052199999999999</v>
      </c>
      <c r="O50" s="3">
        <v>1.9795799999999999E-2</v>
      </c>
      <c r="Q50" s="3">
        <v>24.335699999999999</v>
      </c>
      <c r="R50" s="3">
        <v>1.97845E-2</v>
      </c>
      <c r="AH50" s="34">
        <v>0.2</v>
      </c>
      <c r="AI50" s="34">
        <v>0.8</v>
      </c>
      <c r="AJ50" s="34">
        <v>0.96</v>
      </c>
      <c r="AK50" s="34">
        <v>0.98</v>
      </c>
    </row>
    <row r="51" spans="3:37">
      <c r="C51" s="11" t="s">
        <v>1</v>
      </c>
      <c r="D51" s="11">
        <v>102.02</v>
      </c>
      <c r="E51" s="11"/>
      <c r="F51" s="11"/>
      <c r="G51" s="11"/>
      <c r="H51" s="11"/>
      <c r="K51" s="3">
        <v>56.421099999999996</v>
      </c>
      <c r="L51" s="3">
        <v>3.4390900000000002E-2</v>
      </c>
      <c r="N51" s="3">
        <v>36.4407</v>
      </c>
      <c r="O51" s="3">
        <v>3.4346300000000003E-2</v>
      </c>
      <c r="Q51" s="3">
        <v>42.1203</v>
      </c>
      <c r="R51" s="3">
        <v>3.4297800000000003E-2</v>
      </c>
      <c r="AH51" s="34">
        <v>0.4</v>
      </c>
      <c r="AI51" s="34">
        <v>0.6</v>
      </c>
      <c r="AJ51" s="34">
        <v>0.84</v>
      </c>
      <c r="AK51" s="34">
        <v>0.91700000000000004</v>
      </c>
    </row>
    <row r="52" spans="3:37">
      <c r="C52" s="8" t="s">
        <v>33</v>
      </c>
      <c r="D52" s="11"/>
      <c r="E52" s="11"/>
      <c r="F52" s="11"/>
      <c r="G52" s="11"/>
      <c r="H52" s="11"/>
      <c r="K52" s="3">
        <v>91.107900000000001</v>
      </c>
      <c r="L52" s="3">
        <v>5.5748100000000002E-2</v>
      </c>
      <c r="N52" s="3">
        <v>58.7239</v>
      </c>
      <c r="O52" s="3">
        <v>5.5583899999999999E-2</v>
      </c>
      <c r="Q52" s="3">
        <v>67.787899999999993</v>
      </c>
      <c r="R52" s="3">
        <v>5.5368199999999999E-2</v>
      </c>
      <c r="AH52" s="34">
        <v>0.6</v>
      </c>
      <c r="AI52" s="34">
        <v>0.4</v>
      </c>
      <c r="AJ52" s="34">
        <v>0.64</v>
      </c>
      <c r="AK52" s="34">
        <v>0.8</v>
      </c>
    </row>
    <row r="53" spans="3:37">
      <c r="C53" s="13" t="s">
        <v>22</v>
      </c>
      <c r="D53" s="9">
        <v>38.731900000000003</v>
      </c>
      <c r="E53" s="13">
        <v>39.228700000000003</v>
      </c>
      <c r="F53" s="13">
        <v>27.1995</v>
      </c>
      <c r="G53" s="13">
        <v>0</v>
      </c>
      <c r="K53" s="5">
        <v>139.78899999999999</v>
      </c>
      <c r="L53" s="5">
        <v>8.6200200000000005E-2</v>
      </c>
      <c r="N53" s="5">
        <v>89.376300000000001</v>
      </c>
      <c r="O53" s="5">
        <v>8.5473400000000005E-2</v>
      </c>
      <c r="Q53" s="5">
        <v>102.798</v>
      </c>
      <c r="R53" s="5">
        <v>8.4786E-2</v>
      </c>
      <c r="AH53" s="34">
        <v>0.8</v>
      </c>
      <c r="AI53" s="34">
        <v>0.2</v>
      </c>
      <c r="AJ53" s="34">
        <v>0.36</v>
      </c>
      <c r="AK53" s="34">
        <v>0.6</v>
      </c>
    </row>
    <row r="54" spans="3:37">
      <c r="C54" s="13" t="s">
        <v>23</v>
      </c>
      <c r="D54" s="13">
        <v>0</v>
      </c>
      <c r="E54" s="13">
        <f>0.25*G54</f>
        <v>0.2864775</v>
      </c>
      <c r="F54" s="13">
        <f>0.75*G54</f>
        <v>0.85943250000000004</v>
      </c>
      <c r="G54" s="13">
        <v>1.14591</v>
      </c>
      <c r="K54" s="3">
        <v>158.96700000000001</v>
      </c>
      <c r="L54" s="3">
        <v>0.100589</v>
      </c>
      <c r="N54" s="5">
        <v>99.273899999999998</v>
      </c>
      <c r="O54" s="5">
        <v>9.6948099999999995E-2</v>
      </c>
      <c r="Q54" s="3">
        <v>90.906700000000001</v>
      </c>
      <c r="R54" s="3">
        <v>9.9621199999999993E-2</v>
      </c>
      <c r="AH54" s="34">
        <v>1</v>
      </c>
      <c r="AI54" s="34">
        <v>0</v>
      </c>
      <c r="AJ54" s="34">
        <v>0</v>
      </c>
      <c r="AK54" s="34">
        <v>0</v>
      </c>
    </row>
    <row r="55" spans="3:37">
      <c r="C55" s="13" t="s">
        <v>38</v>
      </c>
      <c r="D55" s="13">
        <f>D53/$D$53</f>
        <v>1</v>
      </c>
      <c r="E55" s="13">
        <f t="shared" ref="E55" si="20">E53/$D$53</f>
        <v>1.0128266364417962</v>
      </c>
      <c r="F55" s="13">
        <f>F53/$D$53</f>
        <v>0.7022505996349262</v>
      </c>
      <c r="G55" s="13">
        <f>G53/$D$53</f>
        <v>0</v>
      </c>
      <c r="K55" s="5">
        <v>160.46899999999999</v>
      </c>
      <c r="L55" s="5">
        <v>0.103587</v>
      </c>
      <c r="N55" s="3">
        <v>98.156600000000012</v>
      </c>
      <c r="O55" s="3">
        <v>9.80375E-2</v>
      </c>
      <c r="Q55" s="3">
        <v>86.218800000000002</v>
      </c>
      <c r="R55" s="3">
        <v>0.113757</v>
      </c>
    </row>
    <row r="56" spans="3:37">
      <c r="C56" s="13" t="s">
        <v>39</v>
      </c>
      <c r="D56" s="13">
        <f>D54/$G$54</f>
        <v>0</v>
      </c>
      <c r="E56" s="13">
        <f>E54/$G$54</f>
        <v>0.25</v>
      </c>
      <c r="F56" s="13">
        <f>F54/$G$54</f>
        <v>0.75</v>
      </c>
      <c r="G56" s="13">
        <f>G54/$G$54</f>
        <v>1</v>
      </c>
      <c r="K56" s="3">
        <v>155.827</v>
      </c>
      <c r="L56" s="3">
        <v>0.104531</v>
      </c>
      <c r="N56" s="3">
        <v>97.025100000000009</v>
      </c>
      <c r="O56" s="3">
        <v>9.9424100000000001E-2</v>
      </c>
      <c r="Q56" s="3">
        <v>82.784300000000002</v>
      </c>
      <c r="R56" s="3">
        <v>0.132548</v>
      </c>
    </row>
    <row r="57" spans="3:37">
      <c r="K57" s="3">
        <v>149.916</v>
      </c>
      <c r="L57" s="3">
        <v>0.107762</v>
      </c>
      <c r="N57" s="3">
        <v>96.765799999999999</v>
      </c>
      <c r="O57" s="3">
        <v>9.9850999999999995E-2</v>
      </c>
      <c r="Q57" s="3">
        <v>77.851699999999994</v>
      </c>
      <c r="R57" s="3">
        <v>0.16559599999999999</v>
      </c>
    </row>
    <row r="58" spans="3:37">
      <c r="C58" s="8" t="s">
        <v>40</v>
      </c>
      <c r="D58" s="11"/>
      <c r="E58" s="11"/>
      <c r="F58" s="11"/>
      <c r="G58" s="11"/>
      <c r="H58" s="11"/>
      <c r="K58" s="3">
        <v>149.59800000000001</v>
      </c>
      <c r="L58" s="3">
        <v>0.10805099999999999</v>
      </c>
      <c r="N58" s="3">
        <v>96.621899999999997</v>
      </c>
      <c r="O58" s="3">
        <v>0.10011</v>
      </c>
      <c r="Q58" s="3">
        <v>71.519600000000011</v>
      </c>
      <c r="R58" s="3">
        <v>0.22952900000000001</v>
      </c>
    </row>
    <row r="59" spans="3:37">
      <c r="C59" s="13" t="s">
        <v>22</v>
      </c>
      <c r="D59" s="12">
        <v>28.212227858163899</v>
      </c>
      <c r="E59" s="13">
        <v>28.471</v>
      </c>
      <c r="F59" s="13">
        <v>27.423999999999999</v>
      </c>
      <c r="G59" s="13">
        <v>25.754000000000001</v>
      </c>
      <c r="H59" s="13">
        <v>0</v>
      </c>
      <c r="K59" s="3">
        <v>149.42099999999999</v>
      </c>
      <c r="L59" s="3">
        <v>0.10821600000000001</v>
      </c>
      <c r="N59" s="3">
        <v>95.259799999999998</v>
      </c>
      <c r="O59" s="3">
        <v>9.9992600000000001E-2</v>
      </c>
      <c r="Q59" s="3">
        <v>67.5839</v>
      </c>
      <c r="R59" s="3">
        <v>0.271171</v>
      </c>
    </row>
    <row r="60" spans="3:37">
      <c r="C60" s="13" t="s">
        <v>23</v>
      </c>
      <c r="D60" s="13">
        <v>0</v>
      </c>
      <c r="E60" s="13">
        <v>0.21961449999999999</v>
      </c>
      <c r="F60" s="13">
        <v>0.43922899999999998</v>
      </c>
      <c r="G60" s="13">
        <v>0.65884350000000003</v>
      </c>
      <c r="H60" s="13">
        <v>0.87845802416895402</v>
      </c>
      <c r="K60" s="3">
        <v>149.322</v>
      </c>
      <c r="L60" s="3">
        <v>0.10831</v>
      </c>
      <c r="N60" s="3">
        <v>94.486500000000007</v>
      </c>
      <c r="O60" s="3">
        <v>9.9879399999999993E-2</v>
      </c>
      <c r="Q60" s="3">
        <v>62.826699999999995</v>
      </c>
      <c r="R60" s="3">
        <v>0.34204600000000002</v>
      </c>
    </row>
    <row r="61" spans="3:37">
      <c r="C61" s="13" t="s">
        <v>38</v>
      </c>
      <c r="D61" s="13">
        <f>D59/$D$53</f>
        <v>0.72839772534174407</v>
      </c>
      <c r="E61" s="13">
        <f t="shared" ref="E61:H61" si="21">E59/$D$53</f>
        <v>0.73507883682442632</v>
      </c>
      <c r="F61" s="13">
        <f t="shared" si="21"/>
        <v>0.70804685543440926</v>
      </c>
      <c r="G61" s="13">
        <f t="shared" si="21"/>
        <v>0.66492994146943474</v>
      </c>
      <c r="H61" s="13">
        <f t="shared" si="21"/>
        <v>0</v>
      </c>
      <c r="K61" s="3">
        <v>149.267</v>
      </c>
      <c r="L61" s="3">
        <v>0.108363</v>
      </c>
      <c r="N61" s="3">
        <v>93.409499999999994</v>
      </c>
      <c r="O61" s="3">
        <v>9.9845199999999995E-2</v>
      </c>
      <c r="Q61" s="3">
        <v>57.302099999999996</v>
      </c>
      <c r="R61" s="3">
        <v>0.46204600000000001</v>
      </c>
    </row>
    <row r="62" spans="3:37">
      <c r="C62" s="13" t="s">
        <v>39</v>
      </c>
      <c r="D62" s="13">
        <f>D60/$G$54</f>
        <v>0</v>
      </c>
      <c r="E62" s="13">
        <f>E60/$G$54</f>
        <v>0.19165074045954744</v>
      </c>
      <c r="F62" s="13">
        <f>F60/$G$54</f>
        <v>0.38330148091909488</v>
      </c>
      <c r="G62" s="13">
        <f>G60/$G$54</f>
        <v>0.57495222137864233</v>
      </c>
      <c r="H62" s="13">
        <f>H60/$G$54</f>
        <v>0.76660298292968387</v>
      </c>
      <c r="K62" s="3">
        <v>149.26599999999999</v>
      </c>
      <c r="L62" s="3">
        <v>0.108366</v>
      </c>
      <c r="N62" s="3">
        <v>91.938100000000006</v>
      </c>
      <c r="O62" s="3">
        <v>0.100075</v>
      </c>
      <c r="Q62" s="3">
        <v>56.154400000000003</v>
      </c>
      <c r="R62" s="3">
        <v>0.49326500000000001</v>
      </c>
    </row>
    <row r="63" spans="3:37">
      <c r="K63" s="3">
        <v>149.26599999999999</v>
      </c>
      <c r="L63" s="3">
        <v>0.10836800000000001</v>
      </c>
      <c r="N63" s="3">
        <v>89.991699999999994</v>
      </c>
      <c r="O63" s="3">
        <v>0.10097399999999999</v>
      </c>
      <c r="Q63" s="3">
        <v>55.082999999999998</v>
      </c>
      <c r="R63" s="3">
        <v>0.52530200000000005</v>
      </c>
    </row>
    <row r="64" spans="3:37">
      <c r="C64" s="8" t="s">
        <v>33</v>
      </c>
      <c r="D64" s="11" t="s">
        <v>59</v>
      </c>
      <c r="E64" s="11"/>
      <c r="F64" s="11"/>
      <c r="G64" s="11"/>
      <c r="H64" s="11"/>
      <c r="K64" s="3">
        <v>149.261</v>
      </c>
      <c r="L64" s="3">
        <v>0.10836999999999999</v>
      </c>
      <c r="N64" s="3">
        <v>87.069199999999995</v>
      </c>
      <c r="O64" s="3">
        <v>0.102913</v>
      </c>
      <c r="Q64" s="3">
        <v>53.562400000000004</v>
      </c>
      <c r="R64" s="3">
        <v>0.57513899999999996</v>
      </c>
    </row>
    <row r="65" spans="3:18">
      <c r="C65" s="13" t="s">
        <v>22</v>
      </c>
      <c r="D65" s="12">
        <v>24.796600000000002</v>
      </c>
      <c r="E65" s="13">
        <v>25.558</v>
      </c>
      <c r="F65" s="13">
        <v>26.075500000000002</v>
      </c>
      <c r="G65" s="13">
        <v>19.100899999999999</v>
      </c>
      <c r="H65" s="13">
        <v>0</v>
      </c>
      <c r="K65" s="3">
        <v>149.25800000000001</v>
      </c>
      <c r="L65" s="3">
        <v>0.108373</v>
      </c>
      <c r="N65" s="3">
        <v>83.591200000000001</v>
      </c>
      <c r="O65" s="3">
        <v>0.10803599999999999</v>
      </c>
      <c r="Q65" s="3">
        <v>52.094499999999996</v>
      </c>
      <c r="R65" s="3">
        <v>0.62636899999999995</v>
      </c>
    </row>
    <row r="66" spans="3:18">
      <c r="C66" s="13" t="s">
        <v>23</v>
      </c>
      <c r="D66" s="13">
        <v>0</v>
      </c>
      <c r="E66" s="13">
        <f>0.25*H66</f>
        <v>0.15420524999999999</v>
      </c>
      <c r="F66" s="13">
        <f>0.5*H66</f>
        <v>0.30841049999999998</v>
      </c>
      <c r="G66" s="13">
        <f>0.75*H66</f>
        <v>0.46261574999999999</v>
      </c>
      <c r="H66" s="13">
        <v>0.61682099999999995</v>
      </c>
      <c r="K66" s="3">
        <v>149.251</v>
      </c>
      <c r="L66" s="3">
        <v>0.108378</v>
      </c>
      <c r="N66" s="3">
        <v>79.714699999999993</v>
      </c>
      <c r="O66" s="3">
        <v>0.11974600000000001</v>
      </c>
      <c r="Q66" s="3">
        <v>50.731699999999996</v>
      </c>
      <c r="R66" s="3">
        <v>0.679122</v>
      </c>
    </row>
    <row r="67" spans="3:18">
      <c r="C67" s="13" t="s">
        <v>38</v>
      </c>
      <c r="D67" s="13">
        <f>D65/$D$53</f>
        <v>0.64021129869693971</v>
      </c>
      <c r="E67" s="13">
        <f t="shared" ref="E67:H67" si="22">E65/$D$53</f>
        <v>0.65986951324360532</v>
      </c>
      <c r="F67" s="13">
        <f t="shared" si="22"/>
        <v>0.67323059287047626</v>
      </c>
      <c r="G67" s="13">
        <f t="shared" si="22"/>
        <v>0.49315680356502001</v>
      </c>
      <c r="H67" s="13">
        <f t="shared" si="22"/>
        <v>0</v>
      </c>
      <c r="K67" s="3">
        <v>149.249</v>
      </c>
      <c r="L67" s="3">
        <v>0.10838100000000001</v>
      </c>
      <c r="N67" s="3">
        <v>74.954399999999993</v>
      </c>
      <c r="O67" s="3">
        <v>0.14208000000000001</v>
      </c>
      <c r="Q67" s="3">
        <v>48.875099999999996</v>
      </c>
      <c r="R67" s="3">
        <v>0.76021899999999998</v>
      </c>
    </row>
    <row r="68" spans="3:18">
      <c r="C68" s="13" t="s">
        <v>39</v>
      </c>
      <c r="D68" s="13">
        <f>D66/$G$54</f>
        <v>0</v>
      </c>
      <c r="E68" s="13">
        <f>E66/$G$54</f>
        <v>0.13457012330811319</v>
      </c>
      <c r="F68" s="13">
        <f>F66/$G$54</f>
        <v>0.26914024661622638</v>
      </c>
      <c r="G68" s="13">
        <f>G66/$G$54</f>
        <v>0.40371036992433962</v>
      </c>
      <c r="H68" s="13">
        <f>H66/$G$54</f>
        <v>0.53828049323245275</v>
      </c>
      <c r="K68" s="3">
        <v>149.24299999999999</v>
      </c>
      <c r="L68" s="3">
        <v>0.108386</v>
      </c>
      <c r="N68" s="3">
        <v>69.618899999999996</v>
      </c>
      <c r="O68" s="3">
        <v>0.18576500000000001</v>
      </c>
      <c r="Q68" s="3">
        <v>46.484000000000002</v>
      </c>
      <c r="R68" s="3">
        <v>0.88568999999999998</v>
      </c>
    </row>
    <row r="69" spans="3:18">
      <c r="K69" s="3">
        <v>149.24299999999999</v>
      </c>
      <c r="L69" s="3">
        <v>0.108389</v>
      </c>
      <c r="N69" s="3">
        <v>63.526000000000003</v>
      </c>
      <c r="O69" s="3">
        <v>0.27173700000000001</v>
      </c>
      <c r="Q69" s="3">
        <v>43.548999999999999</v>
      </c>
      <c r="R69" s="3">
        <v>1.0790599999999999</v>
      </c>
    </row>
    <row r="70" spans="3:18">
      <c r="C70" s="8" t="s">
        <v>33</v>
      </c>
      <c r="D70" s="11" t="s">
        <v>60</v>
      </c>
      <c r="E70" s="11"/>
      <c r="F70" s="11"/>
      <c r="G70" s="11"/>
      <c r="H70" s="11"/>
      <c r="K70" s="3">
        <v>149.239</v>
      </c>
      <c r="L70" s="3">
        <v>0.108392</v>
      </c>
      <c r="N70" s="3">
        <v>60.945999999999998</v>
      </c>
      <c r="O70" s="3">
        <v>0.32903199999999999</v>
      </c>
      <c r="Q70" s="3">
        <v>41.135199999999998</v>
      </c>
      <c r="R70" s="3">
        <v>1.27552</v>
      </c>
    </row>
    <row r="71" spans="3:18">
      <c r="C71" s="13" t="s">
        <v>22</v>
      </c>
      <c r="D71" s="12">
        <v>24.656400000000001</v>
      </c>
      <c r="E71" s="13">
        <v>24.101600000000001</v>
      </c>
      <c r="F71" s="13">
        <v>21.880800000000001</v>
      </c>
      <c r="G71" s="13">
        <v>0</v>
      </c>
      <c r="K71" s="3">
        <v>149.23099999999999</v>
      </c>
      <c r="L71" s="3">
        <v>0.10839799999999999</v>
      </c>
      <c r="N71" s="3">
        <v>56.667300000000004</v>
      </c>
      <c r="O71" s="3">
        <v>0.42626199999999997</v>
      </c>
      <c r="Q71" s="3">
        <v>39.063800000000001</v>
      </c>
      <c r="R71" s="3">
        <v>1.4739899999999999</v>
      </c>
    </row>
    <row r="72" spans="3:18">
      <c r="C72" s="13" t="s">
        <v>23</v>
      </c>
      <c r="D72" s="13">
        <v>0</v>
      </c>
      <c r="E72" s="13">
        <f>0.25*G72</f>
        <v>0.153752</v>
      </c>
      <c r="F72" s="13">
        <f>0.5*G72</f>
        <v>0.307504</v>
      </c>
      <c r="G72" s="13">
        <v>0.615008</v>
      </c>
      <c r="K72" s="3">
        <v>149.22900000000001</v>
      </c>
      <c r="L72" s="3">
        <v>0.108401</v>
      </c>
      <c r="N72" s="3">
        <v>54.717599999999997</v>
      </c>
      <c r="O72" s="3">
        <v>0.48522599999999999</v>
      </c>
      <c r="Q72" s="3">
        <v>36.342500000000001</v>
      </c>
      <c r="R72" s="3">
        <v>1.7726999999999999</v>
      </c>
    </row>
    <row r="73" spans="3:18">
      <c r="C73" s="13" t="s">
        <v>38</v>
      </c>
      <c r="D73" s="13">
        <f>D71/$D$53</f>
        <v>0.63659154340479041</v>
      </c>
      <c r="E73" s="13">
        <f t="shared" ref="E73:F73" si="23">E71/$D$53</f>
        <v>0.62226743330433054</v>
      </c>
      <c r="F73" s="13">
        <f t="shared" si="23"/>
        <v>0.56492968328432114</v>
      </c>
      <c r="G73" s="13">
        <f>G71/$D$53</f>
        <v>0</v>
      </c>
      <c r="K73" s="3">
        <v>149.23099999999999</v>
      </c>
      <c r="L73" s="3">
        <v>0.108404</v>
      </c>
      <c r="N73" s="3">
        <v>52.173199999999994</v>
      </c>
      <c r="O73" s="3">
        <v>0.57896000000000003</v>
      </c>
      <c r="Q73" s="3">
        <v>34.089100000000002</v>
      </c>
      <c r="R73" s="3">
        <v>2.0732599999999999</v>
      </c>
    </row>
    <row r="74" spans="3:18">
      <c r="C74" s="13" t="s">
        <v>39</v>
      </c>
      <c r="D74" s="13">
        <f>D72/$G$54</f>
        <v>0</v>
      </c>
      <c r="E74" s="13">
        <f>E72/$G$54</f>
        <v>0.13417458613678213</v>
      </c>
      <c r="F74" s="13">
        <f>F72/$G$54</f>
        <v>0.26834917227356425</v>
      </c>
      <c r="G74" s="13">
        <f>G72/$G$54</f>
        <v>0.5366983445471285</v>
      </c>
      <c r="K74" s="3">
        <v>149.232</v>
      </c>
      <c r="L74" s="3">
        <v>0.108405</v>
      </c>
      <c r="N74" s="3">
        <v>48.767400000000002</v>
      </c>
      <c r="O74" s="3">
        <v>0.72760899999999995</v>
      </c>
      <c r="Q74" s="3">
        <v>32.228499999999997</v>
      </c>
      <c r="R74" s="3">
        <v>2.3798400000000002</v>
      </c>
    </row>
    <row r="75" spans="3:18">
      <c r="K75" s="3">
        <v>149.232</v>
      </c>
      <c r="L75" s="3">
        <v>0.108405</v>
      </c>
      <c r="N75" s="3">
        <v>45.8309</v>
      </c>
      <c r="O75" s="3">
        <v>0.88613399999999998</v>
      </c>
      <c r="Q75" s="3">
        <v>30.659800000000001</v>
      </c>
      <c r="R75" s="3">
        <v>2.6873900000000002</v>
      </c>
    </row>
    <row r="76" spans="3:18">
      <c r="C76" s="8" t="s">
        <v>33</v>
      </c>
      <c r="D76" s="11" t="s">
        <v>61</v>
      </c>
      <c r="E76" s="11"/>
      <c r="F76" s="11"/>
      <c r="G76" s="11"/>
      <c r="H76" s="11"/>
      <c r="K76" s="3">
        <v>149.233</v>
      </c>
      <c r="L76" s="3">
        <v>0.108405</v>
      </c>
      <c r="N76" s="3">
        <v>43.207800000000006</v>
      </c>
      <c r="O76" s="3">
        <v>1.0535600000000001</v>
      </c>
      <c r="Q76" s="3">
        <v>29.3307</v>
      </c>
      <c r="R76" s="3">
        <v>2.99925</v>
      </c>
    </row>
    <row r="77" spans="3:18">
      <c r="C77" s="13" t="s">
        <v>22</v>
      </c>
      <c r="D77" s="12">
        <v>25.055299999999999</v>
      </c>
      <c r="E77" s="13">
        <v>24.298200000000001</v>
      </c>
      <c r="F77" s="13">
        <v>24.645700000000001</v>
      </c>
      <c r="G77" s="13">
        <v>18.661000000000001</v>
      </c>
      <c r="H77" s="13">
        <v>0</v>
      </c>
      <c r="K77" s="3">
        <v>149.233</v>
      </c>
      <c r="L77" s="3">
        <v>0.108406</v>
      </c>
      <c r="N77" s="3">
        <v>40.090000000000003</v>
      </c>
      <c r="O77" s="3">
        <v>1.3243799999999999</v>
      </c>
      <c r="Q77" s="3">
        <v>28.198</v>
      </c>
      <c r="R77" s="3">
        <v>3.3170600000000001</v>
      </c>
    </row>
    <row r="78" spans="3:18">
      <c r="C78" s="13" t="s">
        <v>23</v>
      </c>
      <c r="D78" s="13">
        <v>0</v>
      </c>
      <c r="E78" s="13">
        <f>0.25*H78</f>
        <v>0.11867324999999999</v>
      </c>
      <c r="F78" s="13">
        <f>0.5*H78</f>
        <v>0.23734649999999999</v>
      </c>
      <c r="G78" s="13">
        <f>0.75*H78</f>
        <v>0.35601974999999997</v>
      </c>
      <c r="H78" s="13">
        <v>0.47469299999999998</v>
      </c>
      <c r="K78" s="5">
        <v>149.233</v>
      </c>
      <c r="L78" s="5">
        <v>0.108406</v>
      </c>
      <c r="N78" s="5">
        <v>39.450699999999998</v>
      </c>
      <c r="O78" s="5">
        <v>1.3915999999999999</v>
      </c>
      <c r="Q78" s="5">
        <v>27.207599999999999</v>
      </c>
      <c r="R78" s="5">
        <v>3.63862</v>
      </c>
    </row>
    <row r="79" spans="3:18">
      <c r="C79" s="13" t="s">
        <v>38</v>
      </c>
      <c r="D79" s="13">
        <f>D77/$D$53</f>
        <v>0.64689054758480724</v>
      </c>
      <c r="E79" s="13">
        <f t="shared" ref="E79:H79" si="24">E77/$D$53</f>
        <v>0.62734335263697361</v>
      </c>
      <c r="F79" s="13">
        <f t="shared" si="24"/>
        <v>0.63631528533327819</v>
      </c>
      <c r="G79" s="13">
        <f t="shared" si="24"/>
        <v>0.48179924041939587</v>
      </c>
      <c r="H79" s="13">
        <f t="shared" si="24"/>
        <v>0</v>
      </c>
    </row>
    <row r="80" spans="3:18">
      <c r="C80" s="13" t="s">
        <v>39</v>
      </c>
      <c r="D80" s="13">
        <f>D78/$G$54</f>
        <v>0</v>
      </c>
      <c r="E80" s="13">
        <f>E78/$G$54</f>
        <v>0.10356245254862947</v>
      </c>
      <c r="F80" s="13">
        <f>F78/$G$54</f>
        <v>0.20712490509725895</v>
      </c>
      <c r="G80" s="13">
        <f>G78/$G$54</f>
        <v>0.3106873576458884</v>
      </c>
      <c r="H80" s="13">
        <f>H78/$G$54</f>
        <v>0.4142498101945179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01AE-E9EB-4FA9-AA8F-3909B17B357B}">
  <dimension ref="C3:H12"/>
  <sheetViews>
    <sheetView workbookViewId="0">
      <selection activeCell="I11" sqref="I11"/>
    </sheetView>
  </sheetViews>
  <sheetFormatPr defaultRowHeight="14.5"/>
  <cols>
    <col min="3" max="3" width="17.26953125" bestFit="1" customWidth="1"/>
  </cols>
  <sheetData>
    <row r="3" spans="3:8">
      <c r="C3" s="26" t="s">
        <v>62</v>
      </c>
      <c r="D3" s="3">
        <v>1472</v>
      </c>
      <c r="E3" s="3">
        <v>2240</v>
      </c>
      <c r="F3" s="3">
        <v>4066</v>
      </c>
      <c r="G3" s="3">
        <v>5760</v>
      </c>
      <c r="H3" s="3">
        <v>6811</v>
      </c>
    </row>
    <row r="4" spans="3:8">
      <c r="C4" s="26" t="s">
        <v>22</v>
      </c>
      <c r="D4" s="3">
        <v>32.163600000000002</v>
      </c>
      <c r="E4" s="3">
        <v>31.261700000000001</v>
      </c>
      <c r="F4" s="3">
        <v>32.202100000000002</v>
      </c>
      <c r="G4" s="4">
        <v>32.1999</v>
      </c>
      <c r="H4" s="3">
        <v>32.221299999999999</v>
      </c>
    </row>
    <row r="6" spans="3:8" ht="15" thickBot="1"/>
    <row r="7" spans="3:8" ht="42.5" thickBot="1">
      <c r="C7" s="23" t="s">
        <v>63</v>
      </c>
      <c r="D7" s="23" t="s">
        <v>22</v>
      </c>
      <c r="E7" s="23" t="s">
        <v>64</v>
      </c>
    </row>
    <row r="8" spans="3:8" ht="15" thickBot="1">
      <c r="C8" s="24">
        <v>1472</v>
      </c>
      <c r="D8" s="24">
        <v>32.163600000000002</v>
      </c>
      <c r="E8" s="24" t="s">
        <v>65</v>
      </c>
    </row>
    <row r="9" spans="3:8" ht="15" thickBot="1">
      <c r="C9" s="24">
        <v>2240</v>
      </c>
      <c r="D9" s="24">
        <v>31.261700000000001</v>
      </c>
      <c r="E9" s="25">
        <v>2.8000000000000001E-2</v>
      </c>
    </row>
    <row r="10" spans="3:8" ht="15" thickBot="1">
      <c r="C10" s="24">
        <v>4066</v>
      </c>
      <c r="D10" s="24">
        <v>32.202100000000002</v>
      </c>
      <c r="E10" s="25">
        <v>0.03</v>
      </c>
    </row>
    <row r="11" spans="3:8" ht="15" thickBot="1">
      <c r="C11" s="24">
        <v>5760</v>
      </c>
      <c r="D11" s="24">
        <v>32.200000000000003</v>
      </c>
      <c r="E11" s="25">
        <v>1E-4</v>
      </c>
    </row>
    <row r="12" spans="3:8" ht="15" thickBot="1">
      <c r="C12" s="24">
        <v>6811</v>
      </c>
      <c r="D12" s="24">
        <v>32.221299999999999</v>
      </c>
      <c r="E12" s="25">
        <v>5.9999999999999995E-4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812D-9FE8-4454-9011-5256922EEC52}">
  <dimension ref="B1:T34"/>
  <sheetViews>
    <sheetView zoomScale="55" zoomScaleNormal="55" workbookViewId="0">
      <selection activeCell="D27" sqref="D27"/>
    </sheetView>
  </sheetViews>
  <sheetFormatPr defaultRowHeight="14.5"/>
  <cols>
    <col min="2" max="5" width="14.1796875" style="1" customWidth="1"/>
    <col min="7" max="8" width="13.453125" style="1" customWidth="1"/>
    <col min="10" max="11" width="13.08984375" style="1" customWidth="1"/>
    <col min="13" max="14" width="13" style="1" customWidth="1"/>
    <col min="16" max="17" width="12.90625" style="1" customWidth="1"/>
    <col min="19" max="20" width="12.90625" style="1" customWidth="1"/>
  </cols>
  <sheetData>
    <row r="1" spans="2:20">
      <c r="G1" s="1" t="s">
        <v>14</v>
      </c>
      <c r="J1" s="1" t="s">
        <v>13</v>
      </c>
    </row>
    <row r="2" spans="2:20">
      <c r="B2" s="56" t="s">
        <v>10</v>
      </c>
      <c r="C2" s="56"/>
      <c r="D2" s="56" t="s">
        <v>12</v>
      </c>
      <c r="E2" s="56"/>
      <c r="G2" s="1" t="s">
        <v>11</v>
      </c>
    </row>
    <row r="3" spans="2:20" ht="27.5" customHeight="1">
      <c r="B3" s="2" t="s">
        <v>8</v>
      </c>
      <c r="C3" s="2" t="s">
        <v>9</v>
      </c>
      <c r="D3" s="2" t="s">
        <v>8</v>
      </c>
      <c r="E3" s="2" t="s">
        <v>9</v>
      </c>
      <c r="G3" s="2" t="s">
        <v>8</v>
      </c>
      <c r="H3" s="2" t="s">
        <v>9</v>
      </c>
      <c r="J3" s="2" t="s">
        <v>8</v>
      </c>
      <c r="K3" s="2" t="s">
        <v>9</v>
      </c>
      <c r="M3" s="2" t="s">
        <v>8</v>
      </c>
      <c r="N3" s="2" t="s">
        <v>9</v>
      </c>
      <c r="P3" s="2" t="s">
        <v>8</v>
      </c>
      <c r="Q3" s="2" t="s">
        <v>9</v>
      </c>
      <c r="S3" s="2" t="s">
        <v>8</v>
      </c>
      <c r="T3" s="2" t="s">
        <v>9</v>
      </c>
    </row>
    <row r="4" spans="2:20">
      <c r="B4" s="2">
        <v>0</v>
      </c>
      <c r="C4" s="2">
        <v>0</v>
      </c>
      <c r="D4" s="2">
        <v>0</v>
      </c>
      <c r="E4" s="2">
        <v>0</v>
      </c>
      <c r="G4" s="3">
        <v>0</v>
      </c>
      <c r="H4" s="3">
        <v>0</v>
      </c>
      <c r="J4" s="3">
        <v>0</v>
      </c>
      <c r="K4" s="3">
        <v>0</v>
      </c>
      <c r="M4" s="3">
        <v>0</v>
      </c>
      <c r="N4" s="3">
        <v>0</v>
      </c>
      <c r="P4" s="3">
        <v>0</v>
      </c>
      <c r="Q4" s="3">
        <v>0</v>
      </c>
      <c r="S4" s="3">
        <v>0</v>
      </c>
      <c r="T4" s="3">
        <v>0</v>
      </c>
    </row>
    <row r="5" spans="2:20">
      <c r="B5" s="2">
        <v>5</v>
      </c>
      <c r="C5" s="2">
        <v>1.7999999999999999E-2</v>
      </c>
      <c r="D5" s="2">
        <v>5</v>
      </c>
      <c r="E5" s="2">
        <v>2.5000000000000001E-2</v>
      </c>
      <c r="G5" s="3">
        <v>2.7686599999999997</v>
      </c>
      <c r="H5" s="3">
        <v>9.9998499999999994E-3</v>
      </c>
      <c r="J5" s="3">
        <v>6.2698100000000005</v>
      </c>
      <c r="K5" s="3">
        <v>9.9998699999999992E-3</v>
      </c>
      <c r="M5" s="3">
        <v>6.6975100000000003</v>
      </c>
      <c r="N5" s="3">
        <v>9.9998699999999992E-3</v>
      </c>
      <c r="P5" s="3">
        <v>14.112299999999999</v>
      </c>
      <c r="Q5" s="3">
        <v>9.9998900000000009E-3</v>
      </c>
      <c r="S5" s="3">
        <v>14.185</v>
      </c>
      <c r="T5" s="3">
        <v>9.9998799999999992E-3</v>
      </c>
    </row>
    <row r="6" spans="2:20">
      <c r="B6" s="2">
        <v>10</v>
      </c>
      <c r="C6" s="2">
        <v>3.5999999999999997E-2</v>
      </c>
      <c r="D6" s="2">
        <v>10</v>
      </c>
      <c r="E6" s="2">
        <v>0.115</v>
      </c>
      <c r="G6" s="3">
        <v>5.5374499999999998</v>
      </c>
      <c r="H6" s="3">
        <v>1.9999400000000001E-2</v>
      </c>
      <c r="J6" s="3">
        <v>12.540299999999998</v>
      </c>
      <c r="K6" s="3">
        <v>1.99995E-2</v>
      </c>
      <c r="M6" s="3">
        <v>13.395799999999999</v>
      </c>
      <c r="N6" s="3">
        <v>1.99995E-2</v>
      </c>
      <c r="P6" s="3">
        <v>28.226700000000001</v>
      </c>
      <c r="Q6" s="3">
        <v>1.99995E-2</v>
      </c>
      <c r="S6" s="3">
        <v>28.3721</v>
      </c>
      <c r="T6" s="3">
        <v>1.99995E-2</v>
      </c>
    </row>
    <row r="7" spans="2:20">
      <c r="B7" s="2">
        <v>17.5</v>
      </c>
      <c r="C7" s="2">
        <v>6.2E-2</v>
      </c>
      <c r="D7" s="2">
        <v>17.5</v>
      </c>
      <c r="E7" s="2">
        <v>0.185</v>
      </c>
      <c r="G7" s="3">
        <v>9.6908500000000011</v>
      </c>
      <c r="H7" s="3">
        <v>3.49982E-2</v>
      </c>
      <c r="J7" s="3">
        <v>21.947299999999998</v>
      </c>
      <c r="K7" s="3">
        <v>3.4998399999999999E-2</v>
      </c>
      <c r="M7" s="3">
        <v>23.444500000000001</v>
      </c>
      <c r="N7" s="3">
        <v>3.4998399999999999E-2</v>
      </c>
      <c r="P7" s="3">
        <v>49.402300000000004</v>
      </c>
      <c r="Q7" s="3">
        <v>3.4998599999999998E-2</v>
      </c>
      <c r="S7" s="3">
        <v>49.656699999999994</v>
      </c>
      <c r="T7" s="3">
        <v>3.4998599999999998E-2</v>
      </c>
    </row>
    <row r="8" spans="2:20">
      <c r="B8" s="2">
        <v>28.74</v>
      </c>
      <c r="C8" s="2">
        <v>0.104</v>
      </c>
      <c r="D8" s="2">
        <v>19</v>
      </c>
      <c r="E8" s="2">
        <v>0.215</v>
      </c>
      <c r="G8" s="3">
        <v>15.9214</v>
      </c>
      <c r="H8" s="3">
        <v>5.74951E-2</v>
      </c>
      <c r="J8" s="3">
        <v>36.060699999999997</v>
      </c>
      <c r="K8" s="3">
        <v>5.7495699999999997E-2</v>
      </c>
      <c r="M8" s="3">
        <v>38.520699999999998</v>
      </c>
      <c r="N8" s="3">
        <v>5.7495600000000001E-2</v>
      </c>
      <c r="P8" s="3">
        <v>81.174700000000001</v>
      </c>
      <c r="Q8" s="3">
        <v>5.7496199999999997E-2</v>
      </c>
      <c r="S8" s="3">
        <v>81.592699999999994</v>
      </c>
      <c r="T8" s="3">
        <v>5.7496100000000001E-2</v>
      </c>
    </row>
    <row r="9" spans="2:20">
      <c r="B9" s="2">
        <v>29.33</v>
      </c>
      <c r="C9" s="2">
        <v>0.106</v>
      </c>
      <c r="D9" s="2">
        <v>21</v>
      </c>
      <c r="E9" s="2">
        <v>0.22500000000000001</v>
      </c>
      <c r="G9" s="5">
        <v>25.267900000000001</v>
      </c>
      <c r="H9" s="5">
        <v>9.1237399999999996E-2</v>
      </c>
      <c r="J9" s="5">
        <v>57.236899999999999</v>
      </c>
      <c r="K9" s="5">
        <v>9.1239200000000006E-2</v>
      </c>
      <c r="M9" s="3">
        <v>61.141800000000003</v>
      </c>
      <c r="N9" s="3">
        <v>9.1238799999999995E-2</v>
      </c>
      <c r="P9" s="3">
        <v>128.85300000000001</v>
      </c>
      <c r="Q9" s="3">
        <v>9.1240299999999996E-2</v>
      </c>
      <c r="S9" s="3">
        <v>129.517</v>
      </c>
      <c r="T9" s="3">
        <v>9.1240100000000005E-2</v>
      </c>
    </row>
    <row r="10" spans="2:20">
      <c r="B10" s="2">
        <v>30.15</v>
      </c>
      <c r="C10" s="2">
        <v>0.109</v>
      </c>
      <c r="D10" s="2">
        <v>23</v>
      </c>
      <c r="E10" s="2">
        <v>0.245</v>
      </c>
      <c r="G10" s="3">
        <v>30.493500000000001</v>
      </c>
      <c r="H10" s="3">
        <v>0.110235</v>
      </c>
      <c r="J10" s="5">
        <v>83.025199999999998</v>
      </c>
      <c r="K10" s="5">
        <v>0.142904</v>
      </c>
      <c r="M10" s="3">
        <v>88.202399999999997</v>
      </c>
      <c r="N10" s="3">
        <v>0.138076</v>
      </c>
      <c r="P10" s="3">
        <v>199.15799999999999</v>
      </c>
      <c r="Q10" s="3">
        <v>0.14200199999999999</v>
      </c>
      <c r="S10" s="3">
        <v>200.095</v>
      </c>
      <c r="T10" s="3">
        <v>0.14200399999999999</v>
      </c>
    </row>
    <row r="11" spans="2:20">
      <c r="B11" s="2">
        <v>31.17</v>
      </c>
      <c r="C11" s="2">
        <v>0.114</v>
      </c>
      <c r="D11" s="2">
        <v>25</v>
      </c>
      <c r="E11" s="2">
        <v>0.27</v>
      </c>
      <c r="G11" s="3">
        <v>30.748200000000001</v>
      </c>
      <c r="H11" s="3">
        <v>0.111248</v>
      </c>
      <c r="J11" s="3">
        <v>82.828999999999994</v>
      </c>
      <c r="K11" s="3">
        <v>0.214361</v>
      </c>
      <c r="M11" s="5">
        <v>88.249300000000005</v>
      </c>
      <c r="N11" s="5">
        <v>0.202732</v>
      </c>
      <c r="P11" s="3">
        <v>202.136</v>
      </c>
      <c r="Q11" s="3">
        <v>0.14472099999999999</v>
      </c>
      <c r="S11" s="3">
        <v>203.042</v>
      </c>
      <c r="T11" s="3">
        <v>0.14472299999999999</v>
      </c>
    </row>
    <row r="12" spans="2:20">
      <c r="B12" s="2">
        <v>31.93</v>
      </c>
      <c r="C12" s="2">
        <v>0.121</v>
      </c>
      <c r="D12" s="2">
        <v>27</v>
      </c>
      <c r="E12" s="2">
        <v>0.29499999999999998</v>
      </c>
      <c r="G12" s="3">
        <v>31.103900000000003</v>
      </c>
      <c r="H12" s="3">
        <v>0.11275300000000001</v>
      </c>
      <c r="J12" s="3">
        <v>82.338499999999996</v>
      </c>
      <c r="K12" s="3">
        <v>0.260459</v>
      </c>
      <c r="M12" s="3">
        <v>87.587299999999999</v>
      </c>
      <c r="N12" s="3">
        <v>0.24298900000000001</v>
      </c>
      <c r="P12" s="3">
        <v>205.48</v>
      </c>
      <c r="Q12" s="3">
        <v>0.14866299999999999</v>
      </c>
      <c r="S12" s="3">
        <v>206.20500000000001</v>
      </c>
      <c r="T12" s="3">
        <v>0.148642</v>
      </c>
    </row>
    <row r="13" spans="2:20">
      <c r="B13" s="2">
        <v>32.1</v>
      </c>
      <c r="C13" s="2">
        <v>0.13</v>
      </c>
      <c r="D13" s="2">
        <v>29</v>
      </c>
      <c r="E13" s="2">
        <v>0.33500000000000002</v>
      </c>
      <c r="G13" s="3">
        <v>31.587400000000002</v>
      </c>
      <c r="H13" s="3">
        <v>0.114985</v>
      </c>
      <c r="J13" s="3">
        <v>81.740499999999997</v>
      </c>
      <c r="K13" s="3">
        <v>0.30626900000000001</v>
      </c>
      <c r="M13" s="3">
        <v>86.755099999999999</v>
      </c>
      <c r="N13" s="3">
        <v>0.28303899999999999</v>
      </c>
      <c r="P13" s="3">
        <v>207.01599999999999</v>
      </c>
      <c r="Q13" s="3">
        <v>0.15423899999999999</v>
      </c>
      <c r="S13" s="3">
        <v>207.64500000000001</v>
      </c>
      <c r="T13" s="3">
        <v>0.15418899999999999</v>
      </c>
    </row>
    <row r="14" spans="2:20">
      <c r="B14" s="2">
        <v>32.119999999999997</v>
      </c>
      <c r="C14" s="2">
        <v>0.14399999999999999</v>
      </c>
      <c r="D14" s="2">
        <v>30.13</v>
      </c>
      <c r="E14" s="2">
        <v>0.38500000000000001</v>
      </c>
      <c r="G14" s="3">
        <v>32.010599999999997</v>
      </c>
      <c r="H14" s="3">
        <v>0.11819200000000001</v>
      </c>
      <c r="J14" s="3">
        <v>81.0595</v>
      </c>
      <c r="K14" s="3">
        <v>0.35203000000000001</v>
      </c>
      <c r="M14" s="3">
        <v>85.260899999999992</v>
      </c>
      <c r="N14" s="3">
        <v>0.34293899999999999</v>
      </c>
      <c r="P14" s="3">
        <v>207.631</v>
      </c>
      <c r="Q14" s="3">
        <v>0.162466</v>
      </c>
      <c r="S14" s="3">
        <v>208.22900000000001</v>
      </c>
      <c r="T14" s="3">
        <v>0.162353</v>
      </c>
    </row>
    <row r="15" spans="2:20">
      <c r="B15" s="2">
        <v>32.07</v>
      </c>
      <c r="C15" s="2">
        <v>0.16500000000000001</v>
      </c>
      <c r="D15" s="2">
        <v>30</v>
      </c>
      <c r="E15" s="2">
        <v>0.40500000000000003</v>
      </c>
      <c r="G15" s="5">
        <v>32.1999</v>
      </c>
      <c r="H15" s="5">
        <v>0.122513</v>
      </c>
      <c r="J15" s="3">
        <v>79.907399999999996</v>
      </c>
      <c r="K15" s="3">
        <v>0.42060199999999998</v>
      </c>
      <c r="M15" s="3">
        <v>82.679600000000008</v>
      </c>
      <c r="N15" s="3">
        <v>0.43284299999999998</v>
      </c>
      <c r="P15" s="3">
        <v>207.87299999999999</v>
      </c>
      <c r="Q15" s="3">
        <v>0.174647</v>
      </c>
      <c r="S15" s="3">
        <v>208.46700000000001</v>
      </c>
      <c r="T15" s="3">
        <v>0.17452500000000001</v>
      </c>
    </row>
    <row r="16" spans="2:20">
      <c r="B16" s="2">
        <v>31.82</v>
      </c>
      <c r="C16" s="2">
        <v>0.19700000000000001</v>
      </c>
      <c r="D16" s="2">
        <v>29</v>
      </c>
      <c r="E16" s="2">
        <v>0.46500000000000002</v>
      </c>
      <c r="G16" s="3">
        <v>32.184100000000001</v>
      </c>
      <c r="H16" s="3">
        <v>0.12867300000000001</v>
      </c>
      <c r="J16" s="3">
        <v>77.976199999999992</v>
      </c>
      <c r="K16" s="3">
        <v>0.52356400000000003</v>
      </c>
      <c r="M16" s="3">
        <v>78.4636</v>
      </c>
      <c r="N16" s="3">
        <v>0.568357</v>
      </c>
      <c r="P16" s="3">
        <v>207.97200000000001</v>
      </c>
      <c r="Q16" s="3">
        <v>0.19292400000000001</v>
      </c>
      <c r="S16" s="3">
        <v>208.565</v>
      </c>
      <c r="T16" s="3">
        <v>0.192777</v>
      </c>
    </row>
    <row r="17" spans="2:20">
      <c r="B17" s="2">
        <v>31.31</v>
      </c>
      <c r="C17" s="2">
        <v>0.24399999999999999</v>
      </c>
      <c r="D17" s="2">
        <v>28</v>
      </c>
      <c r="E17" s="2">
        <v>0.495</v>
      </c>
      <c r="G17" s="3">
        <v>31.993099999999998</v>
      </c>
      <c r="H17" s="3">
        <v>0.13772100000000001</v>
      </c>
      <c r="J17" s="3">
        <v>74.844999999999999</v>
      </c>
      <c r="K17" s="3">
        <v>0.678589</v>
      </c>
      <c r="M17" s="3">
        <v>71.645699999999991</v>
      </c>
      <c r="N17" s="3">
        <v>0.77336000000000005</v>
      </c>
      <c r="P17" s="5">
        <v>208.00800000000001</v>
      </c>
      <c r="Q17" s="5">
        <v>0.2203</v>
      </c>
      <c r="S17" s="5">
        <v>208.6</v>
      </c>
      <c r="T17" s="5">
        <v>0.220137</v>
      </c>
    </row>
    <row r="18" spans="2:20">
      <c r="B18" s="2">
        <v>30.4</v>
      </c>
      <c r="C18" s="2">
        <v>0.314</v>
      </c>
      <c r="D18" s="2">
        <v>26</v>
      </c>
      <c r="E18" s="2">
        <v>0.51500000000000001</v>
      </c>
      <c r="G18" s="3">
        <v>31.611999999999998</v>
      </c>
      <c r="H18" s="3">
        <v>0.15109700000000001</v>
      </c>
      <c r="J18" s="3">
        <v>69.854600000000005</v>
      </c>
      <c r="K18" s="3">
        <v>0.91233900000000001</v>
      </c>
      <c r="M18" s="3">
        <v>70.007100000000008</v>
      </c>
      <c r="N18" s="3">
        <v>0.82538999999999996</v>
      </c>
      <c r="P18" s="3">
        <v>207.911</v>
      </c>
      <c r="Q18" s="3">
        <v>0.26150200000000001</v>
      </c>
      <c r="S18" s="3">
        <v>208.5</v>
      </c>
      <c r="T18" s="3">
        <v>0.26131100000000002</v>
      </c>
    </row>
    <row r="19" spans="2:20">
      <c r="B19" s="2">
        <v>29.11</v>
      </c>
      <c r="C19" s="2">
        <v>0.41799999999999998</v>
      </c>
      <c r="D19" s="2">
        <v>23</v>
      </c>
      <c r="E19" s="2">
        <v>0.56499999999999995</v>
      </c>
      <c r="G19" s="3">
        <v>30.919</v>
      </c>
      <c r="H19" s="3">
        <v>0.17126</v>
      </c>
      <c r="J19" s="3">
        <v>68.626800000000003</v>
      </c>
      <c r="K19" s="3">
        <v>0.97127399999999997</v>
      </c>
      <c r="M19" s="3">
        <v>68.390699999999995</v>
      </c>
      <c r="N19" s="3">
        <v>0.877718</v>
      </c>
      <c r="P19" s="3">
        <v>207.57900000000001</v>
      </c>
      <c r="Q19" s="3">
        <v>0.32335900000000001</v>
      </c>
      <c r="S19" s="3">
        <v>208.16399999999999</v>
      </c>
      <c r="T19" s="3">
        <v>0.32311699999999999</v>
      </c>
    </row>
    <row r="20" spans="2:20">
      <c r="B20" s="2">
        <v>27.15</v>
      </c>
      <c r="C20" s="2">
        <v>0.57499999999999996</v>
      </c>
      <c r="D20" s="2">
        <v>19</v>
      </c>
      <c r="E20" s="2">
        <v>0.66500000000000004</v>
      </c>
      <c r="G20" s="3">
        <v>29.788599999999999</v>
      </c>
      <c r="H20" s="3">
        <v>0.20152800000000001</v>
      </c>
      <c r="J20" s="3">
        <v>67.387699999999995</v>
      </c>
      <c r="K20" s="3">
        <v>1.0303500000000001</v>
      </c>
      <c r="M20" s="3">
        <v>66.825600000000009</v>
      </c>
      <c r="N20" s="3">
        <v>0.93033200000000005</v>
      </c>
      <c r="P20" s="3">
        <v>206.78200000000001</v>
      </c>
      <c r="Q20" s="3">
        <v>0.415657</v>
      </c>
      <c r="S20" s="3">
        <v>207.357</v>
      </c>
      <c r="T20" s="3">
        <v>0.41534599999999999</v>
      </c>
    </row>
    <row r="21" spans="2:20">
      <c r="B21" s="2">
        <v>24.51</v>
      </c>
      <c r="C21" s="2">
        <v>0.81399999999999995</v>
      </c>
      <c r="D21" s="2">
        <v>14</v>
      </c>
      <c r="E21" s="2">
        <v>0.92500000000000004</v>
      </c>
      <c r="G21" s="3">
        <v>28.0351</v>
      </c>
      <c r="H21" s="3">
        <v>0.24769099999999999</v>
      </c>
      <c r="J21" s="3">
        <v>65.534400000000005</v>
      </c>
      <c r="K21" s="3">
        <v>1.1192800000000001</v>
      </c>
      <c r="M21" s="3">
        <v>64.603400000000008</v>
      </c>
      <c r="N21" s="3">
        <v>1.0097</v>
      </c>
      <c r="P21" s="3">
        <v>205.048</v>
      </c>
      <c r="Q21" s="3">
        <v>0.55303800000000003</v>
      </c>
      <c r="S21" s="3">
        <v>205.60499999999999</v>
      </c>
      <c r="T21" s="3">
        <v>0.55262500000000003</v>
      </c>
    </row>
    <row r="22" spans="2:20">
      <c r="B22" s="2">
        <v>21.3</v>
      </c>
      <c r="C22" s="2">
        <v>1.1839999999999999</v>
      </c>
      <c r="D22" s="2">
        <v>12</v>
      </c>
      <c r="E22" s="2">
        <v>1.115</v>
      </c>
      <c r="G22" s="3">
        <v>25.418500000000002</v>
      </c>
      <c r="H22" s="3">
        <v>0.31896000000000002</v>
      </c>
      <c r="J22" s="3">
        <v>62.848800000000004</v>
      </c>
      <c r="K22" s="3">
        <v>1.2535799999999999</v>
      </c>
      <c r="M22" s="3">
        <v>61.550699999999999</v>
      </c>
      <c r="N22" s="3">
        <v>1.12967</v>
      </c>
      <c r="P22" s="3">
        <v>201.42699999999999</v>
      </c>
      <c r="Q22" s="3">
        <v>0.75783900000000004</v>
      </c>
      <c r="S22" s="3">
        <v>201.95500000000001</v>
      </c>
      <c r="T22" s="3">
        <v>0.75728600000000001</v>
      </c>
    </row>
    <row r="23" spans="2:20">
      <c r="G23" s="3">
        <v>21.979500000000002</v>
      </c>
      <c r="H23" s="3">
        <v>0.43092599999999998</v>
      </c>
      <c r="J23" s="3">
        <v>61.417499999999997</v>
      </c>
      <c r="K23" s="3">
        <v>1.3297000000000001</v>
      </c>
      <c r="M23" s="3">
        <v>57.5627</v>
      </c>
      <c r="N23" s="3">
        <v>1.3114300000000001</v>
      </c>
      <c r="P23" s="3">
        <v>194.465</v>
      </c>
      <c r="Q23" s="3">
        <v>1.0643800000000001</v>
      </c>
      <c r="S23" s="3">
        <v>194.94800000000001</v>
      </c>
      <c r="T23" s="3">
        <v>1.0636300000000001</v>
      </c>
    </row>
    <row r="24" spans="2:20">
      <c r="G24" s="3">
        <v>18.366199999999999</v>
      </c>
      <c r="H24" s="3">
        <v>0.61044100000000001</v>
      </c>
      <c r="J24" s="3">
        <v>60.040500000000002</v>
      </c>
      <c r="K24" s="3">
        <v>1.4061999999999999</v>
      </c>
      <c r="M24" s="3">
        <v>52.642300000000006</v>
      </c>
      <c r="N24" s="3">
        <v>1.5875699999999999</v>
      </c>
      <c r="P24" s="3">
        <v>182.16399999999999</v>
      </c>
      <c r="Q24" s="3">
        <v>1.52485</v>
      </c>
      <c r="S24" s="3">
        <v>182.577</v>
      </c>
      <c r="T24" s="3">
        <v>1.52383</v>
      </c>
    </row>
    <row r="25" spans="2:20">
      <c r="G25" s="3">
        <v>14.9937</v>
      </c>
      <c r="H25" s="3">
        <v>0.89702499999999996</v>
      </c>
      <c r="J25" s="3">
        <v>58.726599999999998</v>
      </c>
      <c r="K25" s="3">
        <v>1.4830000000000001</v>
      </c>
      <c r="M25" s="3">
        <v>46.975099999999998</v>
      </c>
      <c r="N25" s="3">
        <v>2.0082100000000001</v>
      </c>
      <c r="P25" s="3">
        <v>174.608</v>
      </c>
      <c r="Q25" s="3">
        <v>1.7858499999999999</v>
      </c>
      <c r="S25" s="3">
        <v>174.994</v>
      </c>
      <c r="T25" s="3">
        <v>1.7847</v>
      </c>
    </row>
    <row r="26" spans="2:20">
      <c r="G26" s="3">
        <v>13.712299999999999</v>
      </c>
      <c r="H26" s="3">
        <v>1.0636399999999999</v>
      </c>
      <c r="J26" s="3">
        <v>56.871199999999995</v>
      </c>
      <c r="K26" s="3">
        <v>1.59866</v>
      </c>
      <c r="M26" s="3">
        <v>40.928899999999999</v>
      </c>
      <c r="N26" s="3">
        <v>2.6495700000000002</v>
      </c>
      <c r="P26" s="3">
        <v>166.9</v>
      </c>
      <c r="Q26" s="3">
        <v>2.0487500000000001</v>
      </c>
      <c r="S26" s="3">
        <v>173.06800000000001</v>
      </c>
      <c r="T26" s="3">
        <v>1.85033</v>
      </c>
    </row>
    <row r="27" spans="2:20">
      <c r="G27" s="3">
        <v>12.2461</v>
      </c>
      <c r="H27" s="3">
        <v>1.3186199999999999</v>
      </c>
      <c r="J27" s="3">
        <v>54.328400000000002</v>
      </c>
      <c r="K27" s="3">
        <v>1.7730300000000001</v>
      </c>
      <c r="M27" s="3">
        <v>36.662999999999997</v>
      </c>
      <c r="N27" s="3">
        <v>3.2995999999999999</v>
      </c>
      <c r="P27" s="3">
        <v>159.72800000000001</v>
      </c>
      <c r="Q27" s="3">
        <v>2.31345</v>
      </c>
      <c r="S27" s="3">
        <v>171.136</v>
      </c>
      <c r="T27" s="3">
        <v>1.9160900000000001</v>
      </c>
    </row>
    <row r="28" spans="2:20">
      <c r="G28" s="3">
        <v>10.684100000000001</v>
      </c>
      <c r="H28" s="3">
        <v>1.70889</v>
      </c>
      <c r="J28" s="3">
        <v>51.002900000000004</v>
      </c>
      <c r="K28" s="3">
        <v>2.0363699999999998</v>
      </c>
      <c r="M28" s="3">
        <v>33.466500000000003</v>
      </c>
      <c r="N28" s="3">
        <v>3.9556</v>
      </c>
      <c r="P28" s="3">
        <v>150.04599999999999</v>
      </c>
      <c r="Q28" s="3">
        <v>2.7134900000000002</v>
      </c>
      <c r="S28" s="3">
        <v>168.273</v>
      </c>
      <c r="T28" s="3">
        <v>2.0149400000000002</v>
      </c>
    </row>
    <row r="29" spans="2:20">
      <c r="G29" s="3">
        <v>9.5812000000000008</v>
      </c>
      <c r="H29" s="3">
        <v>2.105</v>
      </c>
      <c r="J29" s="3">
        <v>46.874000000000002</v>
      </c>
      <c r="K29" s="3">
        <v>2.4346000000000001</v>
      </c>
      <c r="M29" s="3">
        <v>30.9648</v>
      </c>
      <c r="N29" s="3">
        <v>4.6159699999999999</v>
      </c>
      <c r="P29" s="3">
        <v>137.73500000000001</v>
      </c>
      <c r="Q29" s="3">
        <v>3.32029</v>
      </c>
      <c r="S29" s="3">
        <v>164.11699999999999</v>
      </c>
      <c r="T29" s="3">
        <v>2.1636099999999998</v>
      </c>
    </row>
    <row r="30" spans="2:20">
      <c r="G30" s="3">
        <v>8.7537199999999995</v>
      </c>
      <c r="H30" s="3">
        <v>2.5047999999999999</v>
      </c>
      <c r="J30" s="3">
        <v>44.918599999999998</v>
      </c>
      <c r="K30" s="3">
        <v>2.6602299999999999</v>
      </c>
      <c r="M30" s="3">
        <v>28.0623</v>
      </c>
      <c r="N30" s="3">
        <v>5.6126699999999996</v>
      </c>
      <c r="P30" s="3">
        <v>123.238</v>
      </c>
      <c r="Q30" s="3">
        <v>4.2443600000000004</v>
      </c>
      <c r="S30" s="3">
        <v>158.215</v>
      </c>
      <c r="T30" s="3">
        <v>2.3875099999999998</v>
      </c>
    </row>
    <row r="31" spans="2:20">
      <c r="G31" s="3">
        <v>8.104470000000001</v>
      </c>
      <c r="H31" s="3">
        <v>2.90733</v>
      </c>
      <c r="J31" s="3">
        <v>42.358400000000003</v>
      </c>
      <c r="K31" s="3">
        <v>3.0004300000000002</v>
      </c>
      <c r="M31" s="3">
        <v>25.842700000000001</v>
      </c>
      <c r="N31" s="3">
        <v>6.6146399999999996</v>
      </c>
      <c r="P31" s="3">
        <v>112.223</v>
      </c>
      <c r="Q31" s="3">
        <v>5.1813200000000004</v>
      </c>
      <c r="S31" s="3">
        <v>150.13999999999999</v>
      </c>
      <c r="T31" s="3">
        <v>2.7254399999999999</v>
      </c>
    </row>
    <row r="32" spans="2:20">
      <c r="G32" s="3">
        <v>7.5777099999999997</v>
      </c>
      <c r="H32" s="3">
        <v>3.3117999999999999</v>
      </c>
      <c r="J32" s="3">
        <v>39.163599999999995</v>
      </c>
      <c r="K32" s="3">
        <v>3.5143900000000001</v>
      </c>
      <c r="M32" s="3">
        <v>24.077599999999997</v>
      </c>
      <c r="N32" s="3">
        <v>7.6204999999999998</v>
      </c>
      <c r="P32" s="3">
        <v>103.598</v>
      </c>
      <c r="Q32" s="3">
        <v>6.1279300000000001</v>
      </c>
      <c r="S32" s="3">
        <v>139.607</v>
      </c>
      <c r="T32" s="3">
        <v>3.23706</v>
      </c>
    </row>
    <row r="33" spans="7:20">
      <c r="G33" s="3">
        <v>7.1388199999999999</v>
      </c>
      <c r="H33" s="3">
        <v>3.7178300000000002</v>
      </c>
      <c r="J33" s="3">
        <v>36.570800000000006</v>
      </c>
      <c r="K33" s="3">
        <v>4.0315000000000003</v>
      </c>
      <c r="M33" s="3">
        <v>22.632000000000001</v>
      </c>
      <c r="N33" s="3">
        <v>8.6293600000000001</v>
      </c>
      <c r="P33" s="3">
        <v>96.655299999999997</v>
      </c>
      <c r="Q33" s="3">
        <v>7.0820299999999996</v>
      </c>
      <c r="S33" s="3">
        <v>126.751</v>
      </c>
      <c r="T33" s="3">
        <v>4.0144900000000003</v>
      </c>
    </row>
    <row r="34" spans="7:20">
      <c r="G34" s="3">
        <v>6.7653999999999996</v>
      </c>
      <c r="H34" s="3">
        <v>4.1250900000000001</v>
      </c>
      <c r="J34" s="3">
        <v>34.4255</v>
      </c>
      <c r="K34" s="3">
        <v>4.5511200000000001</v>
      </c>
      <c r="M34" s="3">
        <v>21.4207</v>
      </c>
      <c r="N34" s="3">
        <v>9.6405999999999992</v>
      </c>
      <c r="P34" s="3">
        <v>90.935000000000002</v>
      </c>
      <c r="Q34" s="3">
        <v>8.0420300000000005</v>
      </c>
      <c r="S34" s="3">
        <v>112.265</v>
      </c>
      <c r="T34" s="3">
        <v>5.1981799999999998</v>
      </c>
    </row>
  </sheetData>
  <mergeCells count="2">
    <mergeCell ref="B2:C2"/>
    <mergeCell ref="D2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8A55-D145-4A28-AF8E-C4F23E0431E6}">
  <dimension ref="B2:AN51"/>
  <sheetViews>
    <sheetView showGridLines="0" zoomScale="64" zoomScaleNormal="100" workbookViewId="0">
      <selection activeCell="B8" sqref="B8"/>
    </sheetView>
  </sheetViews>
  <sheetFormatPr defaultRowHeight="14"/>
  <cols>
    <col min="1" max="1" width="8.7265625" style="32"/>
    <col min="2" max="2" width="16" style="32" customWidth="1"/>
    <col min="3" max="3" width="29.54296875" style="32" customWidth="1"/>
    <col min="4" max="6" width="18.90625" style="32" customWidth="1"/>
    <col min="7" max="7" width="101.6328125" style="32" customWidth="1"/>
    <col min="8" max="9" width="12" style="17" customWidth="1"/>
    <col min="10" max="17" width="8.7265625" style="32"/>
    <col min="18" max="19" width="8.7265625" style="17"/>
    <col min="20" max="24" width="8.7265625" style="32"/>
    <col min="25" max="25" width="10.36328125" style="32" bestFit="1" customWidth="1"/>
    <col min="26" max="26" width="8.08984375" style="32" bestFit="1" customWidth="1"/>
    <col min="27" max="28" width="8.7265625" style="17"/>
    <col min="29" max="29" width="8.7265625" style="32"/>
    <col min="30" max="30" width="9.36328125" style="32" bestFit="1" customWidth="1"/>
    <col min="31" max="37" width="8.7265625" style="32"/>
    <col min="38" max="38" width="10.36328125" style="32" bestFit="1" customWidth="1"/>
    <col min="39" max="40" width="14.81640625" style="32" customWidth="1"/>
    <col min="41" max="16384" width="8.7265625" style="32"/>
  </cols>
  <sheetData>
    <row r="2" spans="2:33">
      <c r="B2" s="33" t="s">
        <v>93</v>
      </c>
    </row>
    <row r="3" spans="2:33">
      <c r="I3" s="17" t="s">
        <v>95</v>
      </c>
      <c r="R3" s="57" t="s">
        <v>144</v>
      </c>
      <c r="S3" s="58"/>
      <c r="U3" s="57" t="s">
        <v>145</v>
      </c>
      <c r="V3" s="58"/>
      <c r="X3" s="57" t="s">
        <v>147</v>
      </c>
      <c r="Y3" s="58"/>
      <c r="AA3" s="57" t="s">
        <v>148</v>
      </c>
      <c r="AB3" s="58"/>
    </row>
    <row r="4" spans="2:33" ht="28">
      <c r="B4" s="28" t="s">
        <v>24</v>
      </c>
      <c r="C4" s="28" t="s">
        <v>69</v>
      </c>
      <c r="D4" s="28" t="s">
        <v>70</v>
      </c>
      <c r="E4" s="28" t="s">
        <v>71</v>
      </c>
      <c r="F4" s="28" t="s">
        <v>72</v>
      </c>
      <c r="G4" s="28" t="s">
        <v>73</v>
      </c>
      <c r="H4" s="31" t="s">
        <v>149</v>
      </c>
      <c r="I4" s="31" t="s">
        <v>150</v>
      </c>
      <c r="R4" s="20" t="s">
        <v>143</v>
      </c>
      <c r="S4" s="20" t="s">
        <v>142</v>
      </c>
      <c r="U4" s="20" t="s">
        <v>143</v>
      </c>
      <c r="V4" s="20" t="s">
        <v>142</v>
      </c>
      <c r="X4" s="20" t="s">
        <v>143</v>
      </c>
      <c r="Y4" s="20" t="s">
        <v>142</v>
      </c>
      <c r="AA4" s="20" t="s">
        <v>143</v>
      </c>
      <c r="AB4" s="20" t="s">
        <v>142</v>
      </c>
    </row>
    <row r="5" spans="2:33">
      <c r="B5" s="29" t="s">
        <v>74</v>
      </c>
      <c r="C5" s="29" t="s">
        <v>75</v>
      </c>
      <c r="D5" s="29" t="s">
        <v>76</v>
      </c>
      <c r="E5" s="29" t="s">
        <v>77</v>
      </c>
      <c r="F5" s="29" t="s">
        <v>78</v>
      </c>
      <c r="G5" s="29" t="s">
        <v>79</v>
      </c>
      <c r="H5" s="44">
        <v>48.7211</v>
      </c>
      <c r="I5" s="44">
        <v>39.685899999999997</v>
      </c>
      <c r="R5" s="20">
        <v>0</v>
      </c>
      <c r="S5" s="20">
        <v>0</v>
      </c>
      <c r="U5" s="20">
        <v>2.1617500000000001E-4</v>
      </c>
      <c r="V5" s="20">
        <v>2.24922E-10</v>
      </c>
      <c r="X5" s="42">
        <v>0</v>
      </c>
      <c r="Y5" s="41">
        <v>0</v>
      </c>
      <c r="Z5" s="40"/>
      <c r="AA5" s="43">
        <v>3.3399199999999997E-5</v>
      </c>
      <c r="AB5" s="20">
        <v>1.2200599999999999E-10</v>
      </c>
      <c r="AC5" s="40"/>
      <c r="AD5" s="40"/>
      <c r="AE5" s="40"/>
      <c r="AF5" s="40"/>
      <c r="AG5" s="40"/>
    </row>
    <row r="6" spans="2:33">
      <c r="B6" s="29" t="s">
        <v>80</v>
      </c>
      <c r="C6" s="29" t="s">
        <v>81</v>
      </c>
      <c r="D6" s="29" t="s">
        <v>77</v>
      </c>
      <c r="E6" s="29" t="s">
        <v>76</v>
      </c>
      <c r="F6" s="29" t="s">
        <v>78</v>
      </c>
      <c r="G6" s="29" t="s">
        <v>82</v>
      </c>
      <c r="H6" s="44">
        <v>33.279200000000003</v>
      </c>
      <c r="I6" s="44">
        <v>31.113399999999999</v>
      </c>
      <c r="R6" s="20">
        <v>9.9998599999999993E-3</v>
      </c>
      <c r="S6" s="20">
        <v>1.7936800000000002</v>
      </c>
      <c r="U6" s="20">
        <v>1.0210500000000001E-2</v>
      </c>
      <c r="V6" s="20">
        <v>1.78908</v>
      </c>
      <c r="X6" s="42">
        <v>9.9505300000000008E-3</v>
      </c>
      <c r="Y6" s="41">
        <v>10.597</v>
      </c>
      <c r="AA6" s="43">
        <v>9.9810799999999998E-3</v>
      </c>
      <c r="AB6" s="20">
        <v>10.585700000000001</v>
      </c>
      <c r="AD6" s="40"/>
    </row>
    <row r="7" spans="2:33">
      <c r="B7" s="29" t="s">
        <v>83</v>
      </c>
      <c r="C7" s="29" t="s">
        <v>84</v>
      </c>
      <c r="D7" s="29" t="s">
        <v>85</v>
      </c>
      <c r="E7" s="29" t="s">
        <v>76</v>
      </c>
      <c r="F7" s="29" t="s">
        <v>85</v>
      </c>
      <c r="G7" s="29" t="s">
        <v>156</v>
      </c>
      <c r="H7" s="44">
        <v>39.548999999999999</v>
      </c>
      <c r="I7" s="44">
        <v>37.713299999999997</v>
      </c>
      <c r="R7" s="20">
        <v>1.9999400000000001E-2</v>
      </c>
      <c r="S7" s="20">
        <v>3.58745</v>
      </c>
      <c r="U7" s="20">
        <v>2.0191799999999999E-2</v>
      </c>
      <c r="V7" s="20">
        <v>3.5748899999999999</v>
      </c>
      <c r="X7" s="42">
        <v>1.9795799999999999E-2</v>
      </c>
      <c r="Y7" s="41">
        <v>21.052199999999999</v>
      </c>
      <c r="AA7" s="43">
        <v>1.9817000000000001E-2</v>
      </c>
      <c r="AB7" s="20">
        <v>21.0214</v>
      </c>
      <c r="AD7" s="40"/>
    </row>
    <row r="8" spans="2:33">
      <c r="B8" s="39" t="s">
        <v>87</v>
      </c>
      <c r="C8" s="39" t="s">
        <v>88</v>
      </c>
      <c r="D8" s="39" t="s">
        <v>89</v>
      </c>
      <c r="E8" s="39" t="s">
        <v>77</v>
      </c>
      <c r="F8" s="39" t="s">
        <v>89</v>
      </c>
      <c r="G8" s="39" t="s">
        <v>90</v>
      </c>
      <c r="H8" s="45">
        <v>52.7896</v>
      </c>
      <c r="I8" s="45">
        <v>43.472200000000001</v>
      </c>
      <c r="R8" s="20">
        <v>3.49982E-2</v>
      </c>
      <c r="S8" s="20">
        <v>6.2782299999999998</v>
      </c>
      <c r="U8" s="20">
        <v>3.5157000000000001E-2</v>
      </c>
      <c r="V8" s="20">
        <v>6.2513300000000003</v>
      </c>
      <c r="X8" s="42">
        <v>3.4346300000000003E-2</v>
      </c>
      <c r="Y8" s="41">
        <v>36.4407</v>
      </c>
      <c r="AA8" s="43">
        <v>3.4337199999999998E-2</v>
      </c>
      <c r="AB8" s="20">
        <v>36.360199999999999</v>
      </c>
      <c r="AD8" s="40"/>
    </row>
    <row r="9" spans="2:33">
      <c r="R9" s="20">
        <v>5.74951E-2</v>
      </c>
      <c r="S9" s="20">
        <v>10.3147</v>
      </c>
      <c r="U9" s="20">
        <v>5.7588800000000002E-2</v>
      </c>
      <c r="V9" s="20">
        <v>10.2585</v>
      </c>
      <c r="X9" s="42">
        <v>5.5583899999999999E-2</v>
      </c>
      <c r="Y9" s="41">
        <v>58.7239</v>
      </c>
      <c r="AA9" s="43">
        <v>5.5469999999999998E-2</v>
      </c>
      <c r="AB9" s="20">
        <v>58.496699999999997</v>
      </c>
      <c r="AD9" s="40"/>
    </row>
    <row r="10" spans="2:33">
      <c r="B10" s="33" t="s">
        <v>94</v>
      </c>
      <c r="R10" s="20">
        <v>9.1237399999999996E-2</v>
      </c>
      <c r="S10" s="20">
        <v>16.369700000000002</v>
      </c>
      <c r="U10" s="20">
        <v>9.1176999999999994E-2</v>
      </c>
      <c r="V10" s="20">
        <v>16.235799999999998</v>
      </c>
      <c r="X10" s="42">
        <v>8.5473400000000005E-2</v>
      </c>
      <c r="Y10" s="41">
        <v>89.376300000000001</v>
      </c>
      <c r="AA10" s="43">
        <v>8.48854E-2</v>
      </c>
      <c r="AB10" s="20">
        <v>88.577199999999991</v>
      </c>
      <c r="AD10" s="40"/>
    </row>
    <row r="11" spans="2:33">
      <c r="I11" s="17" t="s">
        <v>95</v>
      </c>
      <c r="R11" s="20">
        <v>0.14113200000000001</v>
      </c>
      <c r="S11" s="20">
        <v>22.195900000000002</v>
      </c>
      <c r="U11" s="20">
        <v>0.14084099999999999</v>
      </c>
      <c r="V11" s="20">
        <v>22.097799999999999</v>
      </c>
      <c r="X11" s="42">
        <v>9.6948099999999995E-2</v>
      </c>
      <c r="Y11" s="41">
        <v>99.273899999999998</v>
      </c>
      <c r="AA11" s="43">
        <v>9.5355800000000004E-2</v>
      </c>
      <c r="AB11" s="20">
        <v>97.917899999999989</v>
      </c>
      <c r="AD11" s="40"/>
    </row>
    <row r="12" spans="2:33" ht="28">
      <c r="B12" s="28" t="s">
        <v>24</v>
      </c>
      <c r="C12" s="28" t="s">
        <v>69</v>
      </c>
      <c r="D12" s="28" t="s">
        <v>70</v>
      </c>
      <c r="E12" s="28" t="s">
        <v>71</v>
      </c>
      <c r="F12" s="28" t="s">
        <v>72</v>
      </c>
      <c r="G12" s="28" t="s">
        <v>73</v>
      </c>
      <c r="H12" s="31" t="s">
        <v>91</v>
      </c>
      <c r="I12" s="31" t="s">
        <v>92</v>
      </c>
      <c r="R12" s="20">
        <v>0.215755</v>
      </c>
      <c r="S12" s="20">
        <v>25.34</v>
      </c>
      <c r="U12" s="20">
        <v>0.19092600000000001</v>
      </c>
      <c r="V12" s="20">
        <v>24.262</v>
      </c>
      <c r="X12" s="42">
        <v>9.80375E-2</v>
      </c>
      <c r="Y12" s="41">
        <v>98.156600000000012</v>
      </c>
      <c r="AA12" s="43">
        <v>9.5291500000000001E-2</v>
      </c>
      <c r="AB12" s="20">
        <v>97.773899999999998</v>
      </c>
      <c r="AD12" s="40"/>
    </row>
    <row r="13" spans="2:33">
      <c r="B13" s="29" t="s">
        <v>74</v>
      </c>
      <c r="C13" s="29" t="s">
        <v>75</v>
      </c>
      <c r="D13" s="29" t="s">
        <v>76</v>
      </c>
      <c r="E13" s="29" t="s">
        <v>77</v>
      </c>
      <c r="F13" s="29" t="s">
        <v>78</v>
      </c>
      <c r="G13" s="29" t="s">
        <v>79</v>
      </c>
      <c r="H13" s="44">
        <v>99.273899999999998</v>
      </c>
      <c r="I13" s="44">
        <v>97.917900000000003</v>
      </c>
      <c r="R13" s="20">
        <v>0.32833800000000002</v>
      </c>
      <c r="S13" s="20">
        <v>29.994799999999998</v>
      </c>
      <c r="U13" s="20">
        <v>0.240679</v>
      </c>
      <c r="V13" s="20">
        <v>26.332099999999997</v>
      </c>
      <c r="X13" s="42">
        <v>9.9424100000000001E-2</v>
      </c>
      <c r="Y13" s="41">
        <v>97.025100000000009</v>
      </c>
      <c r="AA13" s="43">
        <v>9.5025399999999996E-2</v>
      </c>
      <c r="AB13" s="20">
        <v>97.456100000000006</v>
      </c>
      <c r="AD13" s="40"/>
    </row>
    <row r="14" spans="2:33">
      <c r="B14" s="29" t="s">
        <v>80</v>
      </c>
      <c r="C14" s="29" t="s">
        <v>81</v>
      </c>
      <c r="D14" s="29" t="s">
        <v>77</v>
      </c>
      <c r="E14" s="29" t="s">
        <v>76</v>
      </c>
      <c r="F14" s="29" t="s">
        <v>78</v>
      </c>
      <c r="G14" s="29" t="s">
        <v>82</v>
      </c>
      <c r="H14" s="44">
        <v>105.565</v>
      </c>
      <c r="I14" s="44">
        <v>96.7012</v>
      </c>
      <c r="R14" s="20">
        <v>0.49801600000000001</v>
      </c>
      <c r="S14" s="20">
        <v>36.921800000000005</v>
      </c>
      <c r="U14" s="20">
        <v>0.29046100000000002</v>
      </c>
      <c r="V14" s="20">
        <v>28.389400000000002</v>
      </c>
      <c r="X14" s="42">
        <v>9.9850999999999995E-2</v>
      </c>
      <c r="Y14" s="41">
        <v>96.765799999999999</v>
      </c>
      <c r="AA14" s="43">
        <v>9.4649999999999998E-2</v>
      </c>
      <c r="AB14" s="20">
        <v>97.02239999999999</v>
      </c>
      <c r="AD14" s="40"/>
    </row>
    <row r="15" spans="2:33">
      <c r="B15" s="39" t="s">
        <v>83</v>
      </c>
      <c r="C15" s="39" t="s">
        <v>84</v>
      </c>
      <c r="D15" s="39" t="s">
        <v>85</v>
      </c>
      <c r="E15" s="39" t="s">
        <v>76</v>
      </c>
      <c r="F15" s="39" t="s">
        <v>85</v>
      </c>
      <c r="G15" s="39" t="s">
        <v>86</v>
      </c>
      <c r="H15" s="45">
        <v>110.96</v>
      </c>
      <c r="I15" s="45">
        <v>109.64400000000001</v>
      </c>
      <c r="R15" s="20">
        <v>0.59371700000000005</v>
      </c>
      <c r="S15" s="20">
        <v>40.767400000000002</v>
      </c>
      <c r="U15" s="20">
        <v>0.36511199999999999</v>
      </c>
      <c r="V15" s="20">
        <v>31.451499999999999</v>
      </c>
      <c r="X15" s="42">
        <v>0.10011</v>
      </c>
      <c r="Y15" s="41">
        <v>96.621899999999997</v>
      </c>
      <c r="AA15" s="43">
        <v>9.4372499999999998E-2</v>
      </c>
      <c r="AB15" s="20">
        <v>96.704300000000003</v>
      </c>
      <c r="AD15" s="40"/>
    </row>
    <row r="16" spans="2:33">
      <c r="B16" s="29" t="s">
        <v>87</v>
      </c>
      <c r="C16" s="29" t="s">
        <v>88</v>
      </c>
      <c r="D16" s="29" t="s">
        <v>89</v>
      </c>
      <c r="E16" s="29" t="s">
        <v>77</v>
      </c>
      <c r="F16" s="29" t="s">
        <v>89</v>
      </c>
      <c r="G16" s="29" t="s">
        <v>90</v>
      </c>
      <c r="H16" s="44">
        <v>91.130399999999995</v>
      </c>
      <c r="I16" s="44">
        <v>79.747500000000002</v>
      </c>
      <c r="R16" s="20">
        <v>0.64763400000000004</v>
      </c>
      <c r="S16" s="20">
        <v>42.900400000000005</v>
      </c>
      <c r="U16" s="20">
        <v>0.47649999999999998</v>
      </c>
      <c r="V16" s="20">
        <v>35.960300000000004</v>
      </c>
      <c r="X16" s="42">
        <v>9.9992600000000001E-2</v>
      </c>
      <c r="Y16" s="41">
        <v>95.259799999999998</v>
      </c>
      <c r="AA16" s="43">
        <v>9.4208E-2</v>
      </c>
      <c r="AB16" s="20">
        <v>96.515600000000006</v>
      </c>
      <c r="AD16" s="40"/>
    </row>
    <row r="17" spans="2:30">
      <c r="R17" s="20">
        <v>0.72848000000000002</v>
      </c>
      <c r="S17" s="20">
        <v>45.956199999999995</v>
      </c>
      <c r="U17" s="20">
        <v>0.48237400000000002</v>
      </c>
      <c r="V17" s="20">
        <v>36.196199999999997</v>
      </c>
      <c r="X17" s="42">
        <v>9.9879399999999993E-2</v>
      </c>
      <c r="Y17" s="41">
        <v>94.486500000000007</v>
      </c>
      <c r="AA17" s="43">
        <v>9.4212000000000004E-2</v>
      </c>
      <c r="AB17" s="20">
        <v>96.524199999999993</v>
      </c>
      <c r="AD17" s="40"/>
    </row>
    <row r="18" spans="2:30">
      <c r="R18" s="20">
        <v>0.74861699999999998</v>
      </c>
      <c r="S18" s="20">
        <v>46.643699999999995</v>
      </c>
      <c r="U18" s="20">
        <v>0.49112</v>
      </c>
      <c r="V18" s="20">
        <v>36.546800000000005</v>
      </c>
      <c r="X18" s="42">
        <v>9.9845199999999995E-2</v>
      </c>
      <c r="Y18" s="41">
        <v>93.409499999999994</v>
      </c>
      <c r="AA18" s="43">
        <v>9.4120300000000004E-2</v>
      </c>
      <c r="AB18" s="20">
        <v>96.420400000000001</v>
      </c>
      <c r="AD18" s="40"/>
    </row>
    <row r="19" spans="2:30" ht="28">
      <c r="B19" s="28" t="s">
        <v>24</v>
      </c>
      <c r="C19" s="28" t="s">
        <v>69</v>
      </c>
      <c r="D19" s="28" t="s">
        <v>126</v>
      </c>
      <c r="E19" s="28" t="s">
        <v>127</v>
      </c>
      <c r="F19" s="28" t="s">
        <v>128</v>
      </c>
      <c r="G19" s="28" t="s">
        <v>129</v>
      </c>
      <c r="R19" s="20">
        <v>0.76841099999999996</v>
      </c>
      <c r="S19" s="20">
        <v>47.235699999999994</v>
      </c>
      <c r="U19" s="20">
        <v>0.50420799999999999</v>
      </c>
      <c r="V19" s="20">
        <v>37.0702</v>
      </c>
      <c r="X19" s="42">
        <v>0.100075</v>
      </c>
      <c r="Y19" s="41">
        <v>91.938100000000006</v>
      </c>
      <c r="AA19" s="43">
        <v>9.3895400000000004E-2</v>
      </c>
      <c r="AB19" s="20">
        <v>96.166600000000003</v>
      </c>
      <c r="AD19" s="40"/>
    </row>
    <row r="20" spans="2:30">
      <c r="B20" s="59" t="s">
        <v>74</v>
      </c>
      <c r="C20" s="60" t="s">
        <v>130</v>
      </c>
      <c r="D20" s="28" t="s">
        <v>131</v>
      </c>
      <c r="E20" s="60" t="s">
        <v>133</v>
      </c>
      <c r="F20" s="28" t="s">
        <v>134</v>
      </c>
      <c r="G20" s="60" t="s">
        <v>136</v>
      </c>
      <c r="R20" s="20">
        <v>0.79742500000000005</v>
      </c>
      <c r="S20" s="20">
        <v>47.958800000000004</v>
      </c>
      <c r="U20" s="20">
        <v>0.52374699999999996</v>
      </c>
      <c r="V20" s="20">
        <v>37.847999999999999</v>
      </c>
      <c r="X20" s="42">
        <v>0.10097399999999999</v>
      </c>
      <c r="Y20" s="41">
        <v>89.991699999999994</v>
      </c>
      <c r="AA20" s="43">
        <v>9.3554200000000004E-2</v>
      </c>
      <c r="AB20" s="20">
        <v>95.791800000000009</v>
      </c>
      <c r="AD20" s="40"/>
    </row>
    <row r="21" spans="2:30" ht="14.5">
      <c r="B21" s="59"/>
      <c r="C21" s="60"/>
      <c r="D21" s="37"/>
      <c r="E21" s="60"/>
      <c r="F21" s="37"/>
      <c r="G21" s="60"/>
      <c r="I21" s="17" t="s">
        <v>45</v>
      </c>
      <c r="J21" s="17">
        <f>0.25/8</f>
        <v>3.125E-2</v>
      </c>
      <c r="R21" s="20">
        <v>0.83971899999999999</v>
      </c>
      <c r="S21" s="20">
        <v>48.7211</v>
      </c>
      <c r="U21" s="20">
        <v>0.55272699999999997</v>
      </c>
      <c r="V21" s="20">
        <v>38.991500000000002</v>
      </c>
      <c r="X21" s="42">
        <v>0.102913</v>
      </c>
      <c r="Y21" s="41">
        <v>87.069199999999995</v>
      </c>
      <c r="AA21" s="43">
        <v>9.3224899999999999E-2</v>
      </c>
      <c r="AB21" s="20">
        <v>95.442499999999995</v>
      </c>
      <c r="AD21" s="40"/>
    </row>
    <row r="22" spans="2:30">
      <c r="B22" s="59"/>
      <c r="C22" s="60"/>
      <c r="D22" s="29" t="s">
        <v>132</v>
      </c>
      <c r="E22" s="60"/>
      <c r="F22" s="29" t="s">
        <v>135</v>
      </c>
      <c r="G22" s="60"/>
      <c r="R22" s="20">
        <v>0.89715199999999995</v>
      </c>
      <c r="S22" s="20">
        <v>48.5062</v>
      </c>
      <c r="U22" s="20">
        <v>0.56873799999999997</v>
      </c>
      <c r="V22" s="20">
        <v>39.616300000000003</v>
      </c>
      <c r="X22" s="42">
        <v>0.10803599999999999</v>
      </c>
      <c r="Y22" s="41">
        <v>83.591200000000001</v>
      </c>
      <c r="AA22" s="43">
        <v>9.3080899999999994E-2</v>
      </c>
      <c r="AB22" s="20">
        <v>95.282699999999991</v>
      </c>
      <c r="AD22" s="40"/>
    </row>
    <row r="23" spans="2:30" ht="14.5">
      <c r="B23" s="59"/>
      <c r="C23" s="60"/>
      <c r="D23" s="37"/>
      <c r="E23" s="60"/>
      <c r="F23" s="37"/>
      <c r="G23" s="60"/>
      <c r="R23" s="20">
        <v>0.94735599999999998</v>
      </c>
      <c r="S23" s="20">
        <v>46.8613</v>
      </c>
      <c r="U23" s="20">
        <v>0.57533299999999998</v>
      </c>
      <c r="V23" s="20">
        <v>39.685900000000004</v>
      </c>
      <c r="X23" s="42">
        <v>0.11974600000000001</v>
      </c>
      <c r="Y23" s="41">
        <v>79.714699999999993</v>
      </c>
      <c r="AA23" s="43">
        <v>9.2506599999999994E-2</v>
      </c>
      <c r="AB23" s="20">
        <v>94.659100000000009</v>
      </c>
      <c r="AD23" s="40"/>
    </row>
    <row r="24" spans="2:30" ht="14.5">
      <c r="B24" s="59"/>
      <c r="C24" s="60"/>
      <c r="D24" s="37"/>
      <c r="E24" s="60"/>
      <c r="F24" s="38" t="s">
        <v>41</v>
      </c>
      <c r="G24" s="60"/>
      <c r="R24" s="20">
        <v>0.996452</v>
      </c>
      <c r="S24" s="20">
        <v>44.600099999999998</v>
      </c>
      <c r="U24" s="20">
        <v>0.57075799999999999</v>
      </c>
      <c r="V24" s="20">
        <v>38.510899999999999</v>
      </c>
      <c r="X24" s="42">
        <v>0.14208000000000001</v>
      </c>
      <c r="Y24" s="41">
        <v>74.954399999999993</v>
      </c>
      <c r="AA24" s="43">
        <v>9.2387999999999998E-2</v>
      </c>
      <c r="AB24" s="20">
        <v>94.532699999999991</v>
      </c>
      <c r="AD24" s="40"/>
    </row>
    <row r="25" spans="2:30">
      <c r="B25" s="59" t="s">
        <v>80</v>
      </c>
      <c r="C25" s="60" t="s">
        <v>137</v>
      </c>
      <c r="D25" s="28" t="s">
        <v>134</v>
      </c>
      <c r="E25" s="60" t="s">
        <v>133</v>
      </c>
      <c r="F25" s="28" t="s">
        <v>131</v>
      </c>
      <c r="G25" s="60" t="s">
        <v>136</v>
      </c>
      <c r="R25" s="20">
        <v>1.0227299999999999</v>
      </c>
      <c r="S25" s="20">
        <v>43.001800000000003</v>
      </c>
      <c r="U25" s="20">
        <v>0.56608800000000004</v>
      </c>
      <c r="V25" s="20">
        <v>37.321800000000003</v>
      </c>
      <c r="X25" s="42">
        <v>0.18576500000000001</v>
      </c>
      <c r="Y25" s="41">
        <v>69.618899999999996</v>
      </c>
      <c r="AA25" s="43">
        <v>9.2257400000000003E-2</v>
      </c>
      <c r="AB25" s="20">
        <v>94.394499999999994</v>
      </c>
      <c r="AD25" s="40"/>
    </row>
    <row r="26" spans="2:30" ht="14.5">
      <c r="B26" s="59"/>
      <c r="C26" s="60"/>
      <c r="D26" s="37"/>
      <c r="E26" s="60"/>
      <c r="F26" s="37"/>
      <c r="G26" s="60"/>
      <c r="R26" s="20">
        <v>1.0581799999999999</v>
      </c>
      <c r="S26" s="20">
        <v>39.999099999999999</v>
      </c>
      <c r="U26" s="20">
        <v>0.56497200000000003</v>
      </c>
      <c r="V26" s="20">
        <v>37.032400000000003</v>
      </c>
      <c r="X26" s="42">
        <v>0.27173700000000001</v>
      </c>
      <c r="Y26" s="41">
        <v>63.526000000000003</v>
      </c>
      <c r="AA26" s="43">
        <v>9.2015399999999997E-2</v>
      </c>
      <c r="AB26" s="20">
        <v>94.139699999999991</v>
      </c>
      <c r="AD26" s="40"/>
    </row>
    <row r="27" spans="2:30">
      <c r="B27" s="59"/>
      <c r="C27" s="60"/>
      <c r="D27" s="29" t="s">
        <v>135</v>
      </c>
      <c r="E27" s="60"/>
      <c r="F27" s="29" t="s">
        <v>132</v>
      </c>
      <c r="G27" s="60"/>
      <c r="R27" s="20">
        <v>1.0783100000000001</v>
      </c>
      <c r="S27" s="20">
        <v>38.108899999999998</v>
      </c>
      <c r="U27" s="20">
        <v>0.56439099999999998</v>
      </c>
      <c r="V27" s="20">
        <v>36.877000000000002</v>
      </c>
      <c r="X27" s="42">
        <v>0.32903199999999999</v>
      </c>
      <c r="Y27" s="41">
        <v>60.945999999999998</v>
      </c>
      <c r="AA27" s="43">
        <v>9.2015399999999997E-2</v>
      </c>
      <c r="AB27" s="20">
        <v>94.14</v>
      </c>
      <c r="AD27" s="40"/>
    </row>
    <row r="28" spans="2:30" ht="14.5">
      <c r="B28" s="59"/>
      <c r="C28" s="60"/>
      <c r="D28" s="37"/>
      <c r="E28" s="60"/>
      <c r="F28" s="37"/>
      <c r="G28" s="60"/>
      <c r="R28" s="20">
        <v>1.1148100000000001</v>
      </c>
      <c r="S28" s="20">
        <v>35.991199999999999</v>
      </c>
      <c r="U28" s="20">
        <v>0.56365799999999999</v>
      </c>
      <c r="V28" s="20">
        <v>36.6738</v>
      </c>
      <c r="X28" s="42">
        <v>0.42626199999999997</v>
      </c>
      <c r="Y28" s="41">
        <v>56.667300000000004</v>
      </c>
      <c r="AA28" s="43">
        <v>9.2015200000000005E-2</v>
      </c>
      <c r="AB28" s="20">
        <v>94.140100000000004</v>
      </c>
      <c r="AD28" s="40"/>
    </row>
    <row r="29" spans="2:30" ht="14.5">
      <c r="B29" s="59"/>
      <c r="C29" s="60"/>
      <c r="D29" s="38" t="s">
        <v>41</v>
      </c>
      <c r="E29" s="60"/>
      <c r="F29" s="37"/>
      <c r="G29" s="60"/>
      <c r="R29" s="20">
        <v>1.17547</v>
      </c>
      <c r="S29" s="20">
        <v>33.1738</v>
      </c>
      <c r="U29" s="20">
        <v>0.56288300000000002</v>
      </c>
      <c r="V29" s="20">
        <v>36.460300000000004</v>
      </c>
      <c r="X29" s="42">
        <v>0.48522599999999999</v>
      </c>
      <c r="Y29" s="41">
        <v>54.717599999999997</v>
      </c>
      <c r="AA29" s="43">
        <v>9.2014600000000002E-2</v>
      </c>
      <c r="AB29" s="20">
        <v>94.140100000000004</v>
      </c>
      <c r="AD29" s="40"/>
    </row>
    <row r="30" spans="2:30">
      <c r="B30" s="59" t="s">
        <v>83</v>
      </c>
      <c r="C30" s="60" t="s">
        <v>84</v>
      </c>
      <c r="D30" s="28" t="s">
        <v>131</v>
      </c>
      <c r="E30" s="28" t="s">
        <v>134</v>
      </c>
      <c r="F30" s="28" t="s">
        <v>131</v>
      </c>
      <c r="G30" s="60" t="s">
        <v>136</v>
      </c>
      <c r="R30" s="20">
        <v>1.2402</v>
      </c>
      <c r="S30" s="20">
        <v>31.479099999999999</v>
      </c>
      <c r="U30" s="20">
        <v>0.56205799999999995</v>
      </c>
      <c r="V30" s="20">
        <v>36.194800000000001</v>
      </c>
      <c r="X30" s="42">
        <v>0.57896000000000003</v>
      </c>
      <c r="Y30" s="41">
        <v>52.173199999999994</v>
      </c>
      <c r="AA30" s="43">
        <v>9.2012099999999999E-2</v>
      </c>
      <c r="AB30" s="20">
        <v>94.138499999999993</v>
      </c>
      <c r="AD30" s="40"/>
    </row>
    <row r="31" spans="2:30" ht="14.5">
      <c r="B31" s="59"/>
      <c r="C31" s="60"/>
      <c r="D31" s="37"/>
      <c r="E31" s="37"/>
      <c r="F31" s="37"/>
      <c r="G31" s="60"/>
      <c r="R31" s="20">
        <v>1.30958</v>
      </c>
      <c r="S31" s="20">
        <v>30.247599999999998</v>
      </c>
      <c r="U31" s="20">
        <v>0.56132700000000002</v>
      </c>
      <c r="V31" s="20">
        <v>35.936199999999999</v>
      </c>
      <c r="X31" s="42">
        <v>0.72760899999999995</v>
      </c>
      <c r="Y31" s="41">
        <v>48.767400000000002</v>
      </c>
      <c r="AA31" s="43">
        <v>9.2004199999999994E-2</v>
      </c>
      <c r="AB31" s="20">
        <v>94.131399999999999</v>
      </c>
      <c r="AD31" s="40"/>
    </row>
    <row r="32" spans="2:30">
      <c r="B32" s="59"/>
      <c r="C32" s="60"/>
      <c r="D32" s="29" t="s">
        <v>138</v>
      </c>
      <c r="E32" s="29" t="s">
        <v>135</v>
      </c>
      <c r="F32" s="29" t="s">
        <v>138</v>
      </c>
      <c r="G32" s="60"/>
      <c r="R32" s="20">
        <v>1.3811</v>
      </c>
      <c r="S32" s="20">
        <v>29.298999999999999</v>
      </c>
      <c r="U32" s="20">
        <v>0.56078600000000001</v>
      </c>
      <c r="V32" s="20">
        <v>35.705800000000004</v>
      </c>
      <c r="X32" s="42">
        <v>0.88613399999999998</v>
      </c>
      <c r="Y32" s="41">
        <v>45.8309</v>
      </c>
      <c r="AA32" s="43">
        <v>9.1983099999999998E-2</v>
      </c>
      <c r="AB32" s="20">
        <v>94.110600000000005</v>
      </c>
      <c r="AD32" s="40"/>
    </row>
    <row r="33" spans="2:40" ht="14.5">
      <c r="B33" s="59"/>
      <c r="C33" s="60"/>
      <c r="D33" s="37"/>
      <c r="E33" s="37"/>
      <c r="F33" s="37"/>
      <c r="G33" s="60"/>
      <c r="R33" s="20">
        <v>1.49068</v>
      </c>
      <c r="S33" s="20">
        <v>28.198700000000002</v>
      </c>
      <c r="U33" s="20">
        <v>0.56014900000000001</v>
      </c>
      <c r="V33" s="20">
        <v>35.386800000000001</v>
      </c>
      <c r="X33" s="42">
        <v>1.0535600000000001</v>
      </c>
      <c r="Y33" s="41">
        <v>43.207800000000006</v>
      </c>
      <c r="AA33" s="43">
        <v>9.1931499999999999E-2</v>
      </c>
      <c r="AB33" s="20">
        <v>94.057500000000005</v>
      </c>
      <c r="AD33" s="40"/>
    </row>
    <row r="34" spans="2:40" ht="14.5">
      <c r="B34" s="59"/>
      <c r="C34" s="60"/>
      <c r="D34" s="37"/>
      <c r="E34" s="38" t="s">
        <v>41</v>
      </c>
      <c r="F34" s="37"/>
      <c r="G34" s="60"/>
      <c r="R34" s="20">
        <v>1.6021000000000001</v>
      </c>
      <c r="S34" s="20">
        <v>27.339200000000002</v>
      </c>
      <c r="U34" s="20">
        <v>0.55950699999999998</v>
      </c>
      <c r="V34" s="20">
        <v>34.956900000000005</v>
      </c>
      <c r="X34" s="42">
        <v>1.3243799999999999</v>
      </c>
      <c r="Y34" s="41">
        <v>40.090000000000003</v>
      </c>
      <c r="AA34" s="43">
        <v>9.1804399999999994E-2</v>
      </c>
      <c r="AB34" s="20">
        <v>93.923500000000004</v>
      </c>
      <c r="AD34" s="40"/>
    </row>
    <row r="35" spans="2:40">
      <c r="B35" s="59" t="s">
        <v>87</v>
      </c>
      <c r="C35" s="60" t="s">
        <v>88</v>
      </c>
      <c r="D35" s="28" t="s">
        <v>134</v>
      </c>
      <c r="E35" s="28" t="s">
        <v>131</v>
      </c>
      <c r="F35" s="28" t="s">
        <v>134</v>
      </c>
      <c r="G35" s="60" t="s">
        <v>136</v>
      </c>
      <c r="R35" s="20">
        <v>1.7147600000000001</v>
      </c>
      <c r="S35" s="20">
        <v>26.622900000000001</v>
      </c>
      <c r="U35" s="20">
        <v>0.55937899999999996</v>
      </c>
      <c r="V35" s="20">
        <v>34.432600000000001</v>
      </c>
      <c r="X35" s="42">
        <v>1.3915999999999999</v>
      </c>
      <c r="Y35" s="41">
        <v>39.450699999999998</v>
      </c>
      <c r="AA35" s="43">
        <v>9.1466500000000006E-2</v>
      </c>
      <c r="AB35" s="20">
        <v>93.566500000000005</v>
      </c>
      <c r="AD35" s="40"/>
    </row>
    <row r="36" spans="2:40" ht="14.5">
      <c r="B36" s="59"/>
      <c r="C36" s="60"/>
      <c r="D36" s="37"/>
      <c r="E36" s="37"/>
      <c r="F36" s="37"/>
      <c r="G36" s="60"/>
    </row>
    <row r="37" spans="2:40">
      <c r="B37" s="59"/>
      <c r="C37" s="60"/>
      <c r="D37" s="29" t="s">
        <v>139</v>
      </c>
      <c r="E37" s="29" t="s">
        <v>132</v>
      </c>
      <c r="F37" s="29" t="s">
        <v>139</v>
      </c>
      <c r="G37" s="60"/>
    </row>
    <row r="38" spans="2:40" ht="28.5">
      <c r="B38" s="59"/>
      <c r="C38" s="60"/>
      <c r="D38" s="37"/>
      <c r="E38" s="37"/>
      <c r="F38" s="37"/>
      <c r="G38" s="60"/>
      <c r="AL38" s="17"/>
      <c r="AM38" s="19" t="s">
        <v>146</v>
      </c>
      <c r="AN38" s="19" t="s">
        <v>51</v>
      </c>
    </row>
    <row r="39" spans="2:40" ht="14.5">
      <c r="B39" s="59"/>
      <c r="C39" s="60"/>
      <c r="D39" s="38" t="s">
        <v>140</v>
      </c>
      <c r="E39" s="37"/>
      <c r="F39" s="38" t="s">
        <v>141</v>
      </c>
      <c r="G39" s="60"/>
      <c r="AL39" s="20" t="s">
        <v>144</v>
      </c>
      <c r="AM39" s="20">
        <v>48.7211</v>
      </c>
      <c r="AN39" s="20">
        <v>26.622900000000001</v>
      </c>
    </row>
    <row r="42" spans="2:40" ht="28.5">
      <c r="AL42" s="17"/>
      <c r="AM42" s="19" t="s">
        <v>146</v>
      </c>
      <c r="AN42" s="19" t="s">
        <v>51</v>
      </c>
    </row>
    <row r="43" spans="2:40">
      <c r="AL43" s="20" t="s">
        <v>145</v>
      </c>
      <c r="AM43" s="20">
        <v>39.685900000000004</v>
      </c>
      <c r="AN43" s="20">
        <v>34.432600000000001</v>
      </c>
    </row>
    <row r="46" spans="2:40" ht="28.5">
      <c r="AL46" s="17"/>
      <c r="AM46" s="19" t="s">
        <v>146</v>
      </c>
      <c r="AN46" s="19" t="s">
        <v>51</v>
      </c>
    </row>
    <row r="47" spans="2:40">
      <c r="AL47" s="20" t="s">
        <v>147</v>
      </c>
      <c r="AM47" s="41">
        <v>99.273899999999998</v>
      </c>
      <c r="AN47" s="41">
        <v>39.450699999999998</v>
      </c>
    </row>
    <row r="50" spans="38:40" ht="28.5">
      <c r="AL50" s="17"/>
      <c r="AM50" s="19" t="s">
        <v>146</v>
      </c>
      <c r="AN50" s="19" t="s">
        <v>51</v>
      </c>
    </row>
    <row r="51" spans="38:40">
      <c r="AL51" s="20" t="s">
        <v>148</v>
      </c>
      <c r="AM51" s="20">
        <v>97.917899999999989</v>
      </c>
      <c r="AN51" s="20">
        <v>93.566500000000005</v>
      </c>
    </row>
  </sheetData>
  <mergeCells count="18">
    <mergeCell ref="C30:C34"/>
    <mergeCell ref="G30:G34"/>
    <mergeCell ref="X3:Y3"/>
    <mergeCell ref="AA3:AB3"/>
    <mergeCell ref="R3:S3"/>
    <mergeCell ref="U3:V3"/>
    <mergeCell ref="B35:B39"/>
    <mergeCell ref="C35:C39"/>
    <mergeCell ref="G35:G39"/>
    <mergeCell ref="B20:B24"/>
    <mergeCell ref="C20:C24"/>
    <mergeCell ref="E20:E24"/>
    <mergeCell ref="G20:G24"/>
    <mergeCell ref="B25:B29"/>
    <mergeCell ref="C25:C29"/>
    <mergeCell ref="E25:E29"/>
    <mergeCell ref="G25:G29"/>
    <mergeCell ref="B30:B34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CA1B-3547-4AC9-B1E7-17F7DA74CD39}">
  <dimension ref="B2:R18"/>
  <sheetViews>
    <sheetView topLeftCell="I13" workbookViewId="0">
      <selection activeCell="R6" sqref="R6"/>
    </sheetView>
  </sheetViews>
  <sheetFormatPr defaultRowHeight="14"/>
  <cols>
    <col min="1" max="1" width="8.7265625" style="32"/>
    <col min="2" max="2" width="9.1796875" style="48" bestFit="1" customWidth="1"/>
    <col min="3" max="3" width="18.90625" style="32" bestFit="1" customWidth="1"/>
    <col min="4" max="4" width="60" style="32" bestFit="1" customWidth="1"/>
    <col min="5" max="5" width="11.54296875" style="17" bestFit="1" customWidth="1"/>
    <col min="6" max="6" width="8.7265625" style="32"/>
    <col min="7" max="7" width="25.90625" style="32" bestFit="1" customWidth="1"/>
    <col min="8" max="8" width="16.90625" style="32" customWidth="1"/>
    <col min="9" max="9" width="60" style="32" bestFit="1" customWidth="1"/>
    <col min="10" max="10" width="8.7265625" style="17"/>
    <col min="11" max="16384" width="8.7265625" style="32"/>
  </cols>
  <sheetData>
    <row r="2" spans="2:18">
      <c r="C2" s="32" t="s">
        <v>157</v>
      </c>
      <c r="E2" s="17" t="s">
        <v>95</v>
      </c>
      <c r="H2" s="32" t="s">
        <v>158</v>
      </c>
    </row>
    <row r="3" spans="2:18" ht="28">
      <c r="B3" s="35" t="s">
        <v>24</v>
      </c>
      <c r="C3" s="28" t="s">
        <v>96</v>
      </c>
      <c r="D3" s="28" t="s">
        <v>73</v>
      </c>
      <c r="E3" s="31" t="s">
        <v>92</v>
      </c>
      <c r="G3" s="35" t="s">
        <v>24</v>
      </c>
      <c r="H3" s="31" t="s">
        <v>96</v>
      </c>
      <c r="I3" s="28" t="s">
        <v>73</v>
      </c>
      <c r="J3" s="31" t="s">
        <v>92</v>
      </c>
    </row>
    <row r="4" spans="2:18">
      <c r="B4" s="36" t="s">
        <v>97</v>
      </c>
      <c r="C4" s="34" t="s">
        <v>41</v>
      </c>
      <c r="D4" s="29" t="s">
        <v>98</v>
      </c>
      <c r="E4" s="43">
        <v>43.472200000000001</v>
      </c>
      <c r="G4" s="36" t="s">
        <v>97</v>
      </c>
      <c r="H4" s="34" t="s">
        <v>41</v>
      </c>
      <c r="I4" s="29" t="s">
        <v>98</v>
      </c>
      <c r="J4" s="43">
        <v>109.64400000000001</v>
      </c>
    </row>
    <row r="5" spans="2:18">
      <c r="B5" s="36" t="s">
        <v>99</v>
      </c>
      <c r="C5" s="34" t="s">
        <v>109</v>
      </c>
      <c r="D5" s="29" t="s">
        <v>100</v>
      </c>
      <c r="E5" s="43">
        <v>35.876199999999997</v>
      </c>
      <c r="G5" s="36" t="s">
        <v>99</v>
      </c>
      <c r="H5" s="34" t="s">
        <v>109</v>
      </c>
      <c r="I5" s="29" t="s">
        <v>100</v>
      </c>
      <c r="J5" s="43">
        <v>110.545</v>
      </c>
      <c r="M5" s="32" t="s">
        <v>157</v>
      </c>
    </row>
    <row r="6" spans="2:18">
      <c r="B6" s="36" t="s">
        <v>101</v>
      </c>
      <c r="C6" s="34" t="s">
        <v>110</v>
      </c>
      <c r="D6" s="29" t="s">
        <v>102</v>
      </c>
      <c r="E6" s="43">
        <v>38.917000000000002</v>
      </c>
      <c r="G6" s="36" t="s">
        <v>101</v>
      </c>
      <c r="H6" s="34" t="s">
        <v>110</v>
      </c>
      <c r="I6" s="29" t="s">
        <v>102</v>
      </c>
      <c r="J6" s="43">
        <v>107.962</v>
      </c>
      <c r="M6" s="53" t="s">
        <v>95</v>
      </c>
      <c r="N6" s="20">
        <v>0</v>
      </c>
      <c r="O6" s="20">
        <v>0.1</v>
      </c>
      <c r="P6" s="20">
        <v>0.5</v>
      </c>
      <c r="Q6" s="20">
        <v>1</v>
      </c>
      <c r="R6" s="20">
        <v>2</v>
      </c>
    </row>
    <row r="7" spans="2:18">
      <c r="B7" s="36" t="s">
        <v>103</v>
      </c>
      <c r="C7" s="34" t="s">
        <v>111</v>
      </c>
      <c r="D7" s="29" t="s">
        <v>104</v>
      </c>
      <c r="E7" s="43">
        <v>42.451099999999997</v>
      </c>
      <c r="G7" s="36" t="s">
        <v>103</v>
      </c>
      <c r="H7" s="34" t="s">
        <v>111</v>
      </c>
      <c r="I7" s="29" t="s">
        <v>104</v>
      </c>
      <c r="J7" s="43">
        <v>109.071</v>
      </c>
      <c r="M7" s="53" t="s">
        <v>166</v>
      </c>
      <c r="N7" s="20">
        <f>0.5*N6</f>
        <v>0</v>
      </c>
      <c r="O7" s="20">
        <f t="shared" ref="O7:R7" si="0">0.5*O6</f>
        <v>0.05</v>
      </c>
      <c r="P7" s="20">
        <f t="shared" si="0"/>
        <v>0.25</v>
      </c>
      <c r="Q7" s="20">
        <f t="shared" si="0"/>
        <v>0.5</v>
      </c>
      <c r="R7" s="20">
        <f t="shared" si="0"/>
        <v>1</v>
      </c>
    </row>
    <row r="8" spans="2:18">
      <c r="B8" s="36" t="s">
        <v>105</v>
      </c>
      <c r="C8" s="34" t="s">
        <v>112</v>
      </c>
      <c r="D8" s="29" t="s">
        <v>106</v>
      </c>
      <c r="E8" s="43">
        <v>45.941400000000002</v>
      </c>
      <c r="G8" s="36" t="s">
        <v>105</v>
      </c>
      <c r="H8" s="34" t="s">
        <v>112</v>
      </c>
      <c r="I8" s="29" t="s">
        <v>106</v>
      </c>
      <c r="J8" s="43">
        <v>115.087</v>
      </c>
      <c r="M8" s="54" t="s">
        <v>22</v>
      </c>
      <c r="N8" s="20">
        <v>67.307599999999994</v>
      </c>
      <c r="O8" s="20">
        <v>56.377299999999998</v>
      </c>
      <c r="P8" s="20">
        <v>49.142400000000002</v>
      </c>
      <c r="Q8" s="43">
        <v>47.354100000000003</v>
      </c>
      <c r="R8" s="20">
        <v>42.25</v>
      </c>
    </row>
    <row r="9" spans="2:18">
      <c r="B9" s="36" t="s">
        <v>107</v>
      </c>
      <c r="C9" s="34" t="s">
        <v>113</v>
      </c>
      <c r="D9" s="29" t="s">
        <v>108</v>
      </c>
      <c r="E9" s="43">
        <v>47.354100000000003</v>
      </c>
      <c r="G9" s="36" t="s">
        <v>107</v>
      </c>
      <c r="H9" s="34" t="s">
        <v>113</v>
      </c>
      <c r="I9" s="29" t="s">
        <v>108</v>
      </c>
      <c r="J9" s="43">
        <v>120.26900000000001</v>
      </c>
      <c r="M9" s="54" t="s">
        <v>165</v>
      </c>
      <c r="N9" s="20">
        <f>N8/$N$8</f>
        <v>1</v>
      </c>
      <c r="O9" s="20">
        <f t="shared" ref="O9:R9" si="1">O8/$N$8</f>
        <v>0.83760674871782681</v>
      </c>
      <c r="P9" s="20">
        <f t="shared" si="1"/>
        <v>0.73011665844570306</v>
      </c>
      <c r="Q9" s="20">
        <f>Q8/$N$8</f>
        <v>0.7035475934366997</v>
      </c>
      <c r="R9" s="20">
        <f t="shared" si="1"/>
        <v>0.62771514658077254</v>
      </c>
    </row>
    <row r="10" spans="2:18">
      <c r="B10" s="52" t="s">
        <v>164</v>
      </c>
      <c r="C10" s="34"/>
      <c r="D10" s="29" t="s">
        <v>162</v>
      </c>
      <c r="E10" s="20">
        <v>32.549999999999997</v>
      </c>
      <c r="G10" s="52" t="s">
        <v>164</v>
      </c>
      <c r="H10" s="34"/>
      <c r="I10" s="29" t="s">
        <v>162</v>
      </c>
      <c r="J10" s="20">
        <v>55.2</v>
      </c>
      <c r="N10" s="17"/>
      <c r="O10" s="17"/>
      <c r="P10" s="17"/>
      <c r="Q10" s="17"/>
      <c r="R10" s="17"/>
    </row>
    <row r="11" spans="2:18">
      <c r="B11" s="52" t="s">
        <v>163</v>
      </c>
      <c r="C11" s="34"/>
      <c r="D11" s="29" t="s">
        <v>163</v>
      </c>
      <c r="E11" s="20">
        <v>16.27</v>
      </c>
      <c r="G11" s="52" t="s">
        <v>163</v>
      </c>
      <c r="H11" s="34"/>
      <c r="I11" s="29" t="s">
        <v>163</v>
      </c>
      <c r="J11" s="20">
        <v>27.6</v>
      </c>
      <c r="M11" s="32" t="s">
        <v>158</v>
      </c>
    </row>
    <row r="12" spans="2:18">
      <c r="B12" s="49"/>
      <c r="C12" s="50"/>
      <c r="D12" s="51"/>
      <c r="G12" s="49"/>
      <c r="H12" s="50"/>
      <c r="I12" s="51"/>
      <c r="M12" s="53" t="s">
        <v>95</v>
      </c>
      <c r="N12" s="20">
        <v>0</v>
      </c>
      <c r="O12" s="20">
        <v>0.1</v>
      </c>
      <c r="P12" s="20">
        <v>0.5</v>
      </c>
      <c r="Q12" s="20">
        <v>1</v>
      </c>
      <c r="R12" s="20">
        <v>2</v>
      </c>
    </row>
    <row r="13" spans="2:18">
      <c r="M13" s="53" t="s">
        <v>166</v>
      </c>
      <c r="N13" s="20">
        <f>0.5*N12</f>
        <v>0</v>
      </c>
      <c r="O13" s="20">
        <f t="shared" ref="O13" si="2">0.5*O12</f>
        <v>0.05</v>
      </c>
      <c r="P13" s="20">
        <f t="shared" ref="P13" si="3">0.5*P12</f>
        <v>0.25</v>
      </c>
      <c r="Q13" s="20">
        <f t="shared" ref="Q13" si="4">0.5*Q12</f>
        <v>0.5</v>
      </c>
      <c r="R13" s="20">
        <f t="shared" ref="R13" si="5">0.5*R12</f>
        <v>1</v>
      </c>
    </row>
    <row r="14" spans="2:18">
      <c r="M14" s="54" t="s">
        <v>22</v>
      </c>
      <c r="N14" s="20">
        <v>128.64400000000001</v>
      </c>
      <c r="O14" s="20">
        <v>126.753</v>
      </c>
      <c r="P14" s="20">
        <v>124.54300000000001</v>
      </c>
      <c r="Q14" s="43">
        <v>120.26900000000001</v>
      </c>
      <c r="R14" s="20">
        <v>107.547</v>
      </c>
    </row>
    <row r="15" spans="2:18">
      <c r="B15" s="28" t="s">
        <v>114</v>
      </c>
      <c r="C15" s="28" t="s">
        <v>115</v>
      </c>
      <c r="D15" s="28" t="s">
        <v>116</v>
      </c>
      <c r="M15" s="54" t="s">
        <v>165</v>
      </c>
      <c r="N15" s="20">
        <f>N14/$N$14</f>
        <v>1</v>
      </c>
      <c r="O15" s="20">
        <f t="shared" ref="O15:R15" si="6">O14/$N$14</f>
        <v>0.98530051926246065</v>
      </c>
      <c r="P15" s="20">
        <f t="shared" si="6"/>
        <v>0.96812132707316312</v>
      </c>
      <c r="Q15" s="20">
        <f t="shared" si="6"/>
        <v>0.93489785765367994</v>
      </c>
      <c r="R15" s="20">
        <f t="shared" si="6"/>
        <v>0.8360047884083206</v>
      </c>
    </row>
    <row r="16" spans="2:18" ht="28">
      <c r="B16" s="29" t="s">
        <v>117</v>
      </c>
      <c r="C16" s="29" t="s">
        <v>118</v>
      </c>
      <c r="D16" s="29" t="s">
        <v>119</v>
      </c>
    </row>
    <row r="17" spans="2:4" ht="42">
      <c r="B17" s="29" t="s">
        <v>120</v>
      </c>
      <c r="C17" s="29" t="s">
        <v>121</v>
      </c>
      <c r="D17" s="29" t="s">
        <v>122</v>
      </c>
    </row>
    <row r="18" spans="2:4" ht="56">
      <c r="B18" s="29" t="s">
        <v>123</v>
      </c>
      <c r="C18" s="29" t="s">
        <v>124</v>
      </c>
      <c r="D18" s="29" t="s">
        <v>125</v>
      </c>
    </row>
  </sheetData>
  <phoneticPr fontId="1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0439-029B-4AE0-9DA1-44AF758B78C9}">
  <dimension ref="C3:H7"/>
  <sheetViews>
    <sheetView zoomScale="57" workbookViewId="0">
      <selection activeCell="K7" sqref="K7"/>
    </sheetView>
  </sheetViews>
  <sheetFormatPr defaultRowHeight="14.5"/>
  <cols>
    <col min="3" max="3" width="14.1796875" customWidth="1"/>
    <col min="4" max="5" width="12.08984375" customWidth="1"/>
    <col min="6" max="6" width="11.90625" bestFit="1" customWidth="1"/>
    <col min="7" max="7" width="12.08984375" customWidth="1"/>
    <col min="8" max="8" width="33" customWidth="1"/>
  </cols>
  <sheetData>
    <row r="3" spans="3:8" ht="28">
      <c r="C3" s="31" t="s">
        <v>24</v>
      </c>
      <c r="D3" s="31" t="s">
        <v>69</v>
      </c>
      <c r="E3" s="31" t="s">
        <v>70</v>
      </c>
      <c r="F3" s="31" t="s">
        <v>71</v>
      </c>
      <c r="G3" s="31" t="s">
        <v>72</v>
      </c>
      <c r="H3" s="28" t="s">
        <v>73</v>
      </c>
    </row>
    <row r="4" spans="3:8" ht="56">
      <c r="C4" s="34" t="s">
        <v>74</v>
      </c>
      <c r="D4" s="34" t="s">
        <v>75</v>
      </c>
      <c r="E4" s="34" t="s">
        <v>159</v>
      </c>
      <c r="F4" s="34" t="s">
        <v>160</v>
      </c>
      <c r="G4" s="34" t="s">
        <v>78</v>
      </c>
      <c r="H4" s="29" t="s">
        <v>79</v>
      </c>
    </row>
    <row r="5" spans="3:8" ht="56">
      <c r="C5" s="34" t="s">
        <v>80</v>
      </c>
      <c r="D5" s="34" t="s">
        <v>81</v>
      </c>
      <c r="E5" s="34" t="s">
        <v>160</v>
      </c>
      <c r="F5" s="34" t="s">
        <v>159</v>
      </c>
      <c r="G5" s="34" t="s">
        <v>78</v>
      </c>
      <c r="H5" s="29" t="s">
        <v>82</v>
      </c>
    </row>
    <row r="6" spans="3:8" ht="42">
      <c r="C6" s="34" t="s">
        <v>83</v>
      </c>
      <c r="D6" s="34" t="s">
        <v>84</v>
      </c>
      <c r="E6" s="34" t="s">
        <v>161</v>
      </c>
      <c r="F6" s="34" t="s">
        <v>159</v>
      </c>
      <c r="G6" s="34" t="s">
        <v>161</v>
      </c>
      <c r="H6" s="29" t="s">
        <v>86</v>
      </c>
    </row>
    <row r="7" spans="3:8" ht="56">
      <c r="C7" s="47" t="s">
        <v>87</v>
      </c>
      <c r="D7" s="47" t="s">
        <v>88</v>
      </c>
      <c r="E7" s="47" t="s">
        <v>89</v>
      </c>
      <c r="F7" s="47" t="s">
        <v>160</v>
      </c>
      <c r="G7" s="47" t="s">
        <v>89</v>
      </c>
      <c r="H7" s="3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Validation</vt:lpstr>
      <vt:lpstr>Combine load</vt:lpstr>
      <vt:lpstr>Sensitivity</vt:lpstr>
      <vt:lpstr>Load-displacement</vt:lpstr>
      <vt:lpstr>Extension 1 (Configuration)</vt:lpstr>
      <vt:lpstr>Extension 2 (Ply Optimization)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 Asus Vivobook</dc:creator>
  <cp:lastModifiedBy>Notebook Asus Vivobook</cp:lastModifiedBy>
  <dcterms:created xsi:type="dcterms:W3CDTF">2026-01-21T02:03:40Z</dcterms:created>
  <dcterms:modified xsi:type="dcterms:W3CDTF">2026-05-22T07:42:07Z</dcterms:modified>
</cp:coreProperties>
</file>